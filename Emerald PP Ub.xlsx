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66925"/>
  <mc:AlternateContent xmlns:mc="http://schemas.openxmlformats.org/markup-compatibility/2006">
    <mc:Choice Requires="x15">
      <x15ac:absPath xmlns:x15ac="http://schemas.microsoft.com/office/spreadsheetml/2010/11/ac" url="C:\Users\Ubokobong Archibong\OneDrive\Desktop\Data Analysis Classes\Analyzed Work\"/>
    </mc:Choice>
  </mc:AlternateContent>
  <xr:revisionPtr revIDLastSave="0" documentId="13_ncr:1_{A8B88054-E410-4054-A87D-3C20E028F337}" xr6:coauthVersionLast="47" xr6:coauthVersionMax="47" xr10:uidLastSave="{00000000-0000-0000-0000-000000000000}"/>
  <bookViews>
    <workbookView xWindow="-120" yWindow="-120" windowWidth="20730" windowHeight="11040" firstSheet="5" activeTab="8" xr2:uid="{E81DBD07-E78F-4902-BC3D-C014705501DC}"/>
  </bookViews>
  <sheets>
    <sheet name="KPI" sheetId="3" r:id="rId1"/>
    <sheet name="Lead by States" sheetId="13" r:id="rId2"/>
    <sheet name="EMERALD PROPERTIES" sheetId="2" r:id="rId3"/>
    <sheet name="Lead by Gender" sheetId="1" r:id="rId4"/>
    <sheet name="Lead by Sales Rep." sheetId="4" r:id="rId5"/>
    <sheet name="Leads by Sales Status" sheetId="5" r:id="rId6"/>
    <sheet name="Conversion Rate by State" sheetId="6" r:id="rId7"/>
    <sheet name="Lead by Property Type" sheetId="7" r:id="rId8"/>
    <sheet name="Dashboard" sheetId="14" r:id="rId9"/>
    <sheet name="Lead by Inspection Status" sheetId="8" r:id="rId10"/>
  </sheets>
  <definedNames>
    <definedName name="_xlchart.v5.0" hidden="1">'Conversion Rate by State'!$H$4</definedName>
    <definedName name="_xlchart.v5.1" hidden="1">'Conversion Rate by State'!$H$5</definedName>
    <definedName name="_xlchart.v5.2" hidden="1">'Conversion Rate by State'!$I$4</definedName>
    <definedName name="_xlchart.v5.3" hidden="1">'Conversion Rate by State'!$I$5</definedName>
    <definedName name="_xlchart.v5.4" hidden="1">'Conversion Rate by State'!$H$5</definedName>
    <definedName name="_xlchart.v5.5" hidden="1">'Conversion Rate by State'!$H$6</definedName>
    <definedName name="_xlchart.v5.6" hidden="1">'Conversion Rate by State'!$I$5</definedName>
    <definedName name="_xlchart.v5.7" hidden="1">'Conversion Rate by State'!$I$6</definedName>
    <definedName name="_xlcn.WorksheetConnection_EmeraldPPUb.xlsxEMERALD_PROPERTIES" hidden="1">EMERALD_PROPERTIES[]</definedName>
    <definedName name="ExternalData_1" localSheetId="2" hidden="1">'EMERALD PROPERTIES'!$A$1:$H$226</definedName>
    <definedName name="Slicer_Inspection_Status">#N/A</definedName>
    <definedName name="Slicer_Property_Type">#N/A</definedName>
    <definedName name="Slicer_Sales_Status">#N/A</definedName>
    <definedName name="Slicer_State">#N/A</definedName>
  </definedNames>
  <calcPr calcId="191029"/>
  <pivotCaches>
    <pivotCache cacheId="0" r:id="rId11"/>
    <pivotCache cacheId="1" r:id="rId12"/>
    <pivotCache cacheId="2" r:id="rId13"/>
    <pivotCache cacheId="3" r:id="rId14"/>
    <pivotCache cacheId="4" r:id="rId15"/>
    <pivotCache cacheId="5" r:id="rId16"/>
    <pivotCache cacheId="6" r:id="rId17"/>
    <pivotCache cacheId="7" r:id="rId18"/>
  </pivotCaches>
  <extLst>
    <ext xmlns:x14="http://schemas.microsoft.com/office/spreadsheetml/2009/9/main" uri="{876F7934-8845-4945-9796-88D515C7AA90}">
      <x14:pivotCaches>
        <pivotCache cacheId="8" r:id="rId19"/>
      </x14:pivotCaches>
    </ext>
    <ext xmlns:x14="http://schemas.microsoft.com/office/spreadsheetml/2009/9/main" uri="{BBE1A952-AA13-448e-AADC-164F8A28A991}">
      <x14:slicerCaches>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MERALD_PROPERTIES" name="EMERALD_PROPERTIES" connection="WorksheetConnection_Emerald PP Ub.xlsx!EMERALD_PROPERTIE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 i="3" l="1"/>
  <c r="E7" i="3"/>
  <c r="E6" i="3"/>
  <c r="E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1279082-61F6-4FEF-8D47-4C53ACCF6659}" keepAlive="1" name="Query - EMERALD PROPERTIES" description="Connection to the 'EMERALD PROPERTIES' query in the workbook." type="5" refreshedVersion="7" background="1" saveData="1">
    <dbPr connection="Provider=Microsoft.Mashup.OleDb.1;Data Source=$Workbook$;Location=&quot;EMERALD PROPERTIES&quot;;Extended Properties=&quot;&quot;" command="SELECT * FROM [EMERALD PROPERTIES]"/>
  </connection>
  <connection id="2" xr16:uid="{641E0085-7858-4F0E-A2EC-93724C908153}"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17D9D977-ADD2-4EA3-8F7F-9B6D55AA658C}" name="WorksheetConnection_Emerald PP Ub.xlsx!EMERALD_PROPERTIES" type="102" refreshedVersion="7" minRefreshableVersion="5">
    <extLst>
      <ext xmlns:x15="http://schemas.microsoft.com/office/spreadsheetml/2010/11/main" uri="{DE250136-89BD-433C-8126-D09CA5730AF9}">
        <x15:connection id="EMERALD_PROPERTIES" autoDelete="1">
          <x15:rangePr sourceName="_xlcn.WorksheetConnection_EmeraldPPUb.xlsxEMERALD_PROPERTIES"/>
        </x15:connection>
      </ext>
    </extLst>
  </connection>
</connections>
</file>

<file path=xl/sharedStrings.xml><?xml version="1.0" encoding="utf-8"?>
<sst xmlns="http://schemas.openxmlformats.org/spreadsheetml/2006/main" count="1631" uniqueCount="260">
  <si>
    <t>Client ID</t>
  </si>
  <si>
    <t>Gender</t>
  </si>
  <si>
    <t>Sales Rep.</t>
  </si>
  <si>
    <t>Date</t>
  </si>
  <si>
    <t>Sales Status</t>
  </si>
  <si>
    <t xml:space="preserve">State       </t>
  </si>
  <si>
    <t>Property Type</t>
  </si>
  <si>
    <t>1</t>
  </si>
  <si>
    <t>Female</t>
  </si>
  <si>
    <t>Ekemini</t>
  </si>
  <si>
    <t>Paid</t>
  </si>
  <si>
    <t>Lagos</t>
  </si>
  <si>
    <t>Residential</t>
  </si>
  <si>
    <t>Yes</t>
  </si>
  <si>
    <t>2</t>
  </si>
  <si>
    <t>Male</t>
  </si>
  <si>
    <t>Ngozi</t>
  </si>
  <si>
    <t>Too Expensive</t>
  </si>
  <si>
    <t>Commercial</t>
  </si>
  <si>
    <t>No</t>
  </si>
  <si>
    <t>3</t>
  </si>
  <si>
    <t>Ahmed</t>
  </si>
  <si>
    <t>Not Interested</t>
  </si>
  <si>
    <t>Rivers</t>
  </si>
  <si>
    <t>4</t>
  </si>
  <si>
    <t>Funmi</t>
  </si>
  <si>
    <t>Next Time</t>
  </si>
  <si>
    <t>5</t>
  </si>
  <si>
    <t>Idara</t>
  </si>
  <si>
    <t>6</t>
  </si>
  <si>
    <t>Chioma</t>
  </si>
  <si>
    <t>7</t>
  </si>
  <si>
    <t>8</t>
  </si>
  <si>
    <t>9</t>
  </si>
  <si>
    <t>Industrial</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</si>
  <si>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</si>
  <si>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</si>
  <si>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</si>
  <si>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</si>
  <si>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</si>
  <si>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</si>
  <si>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</si>
  <si>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</si>
  <si>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</si>
  <si>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</si>
  <si>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</si>
  <si>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</si>
  <si>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</si>
  <si>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</si>
  <si>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</si>
  <si>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</si>
  <si>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</si>
  <si>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</si>
  <si>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</si>
  <si>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</si>
  <si>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</si>
  <si>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</si>
  <si>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</si>
  <si>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</si>
  <si>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</si>
  <si>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</si>
  <si>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</si>
  <si>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</si>
  <si>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</si>
  <si>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</si>
  <si>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</si>
  <si>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</si>
  <si>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</si>
  <si>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</si>
  <si>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</si>
  <si>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</si>
  <si>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</si>
  <si>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</si>
  <si>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</si>
  <si>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</si>
  <si>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</si>
  <si>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</si>
  <si>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</si>
  <si>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</si>
  <si>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</si>
  <si>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</si>
  <si>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</si>
  <si>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</si>
  <si>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</si>
  <si>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</si>
  <si>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</si>
  <si>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</si>
  <si>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</si>
  <si>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</si>
  <si>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</si>
  <si>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</si>
  <si>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</si>
  <si>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</si>
  <si>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</si>
  <si>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</si>
  <si>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</si>
  <si>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</si>
  <si>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</si>
  <si>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</si>
  <si>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</si>
  <si>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</si>
  <si>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</si>
  <si>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</si>
  <si>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</si>
  <si>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</si>
  <si>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</si>
  <si>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</si>
  <si>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</si>
  <si>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</si>
  <si>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</si>
  <si>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</si>
  <si>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</si>
  <si>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</si>
  <si>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</si>
  <si>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</si>
  <si>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</si>
  <si>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</si>
  <si>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</si>
  <si>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</si>
  <si>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</si>
  <si>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</si>
  <si>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</si>
  <si>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</si>
  <si>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</si>
  <si>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</si>
  <si>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</si>
  <si>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</si>
  <si>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</si>
  <si>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</si>
  <si>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</si>
  <si>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</si>
  <si>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</si>
  <si>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</si>
  <si>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</si>
  <si>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</si>
  <si>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</si>
  <si>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</si>
  <si>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</si>
  <si>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</si>
  <si>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</si>
  <si>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</si>
  <si>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</si>
  <si>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</si>
  <si>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</si>
  <si>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</si>
  <si>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</si>
  <si>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</si>
  <si>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</si>
  <si>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</si>
  <si>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</si>
  <si>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</si>
  <si>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</si>
  <si>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</si>
  <si>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</si>
  <si>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</si>
  <si>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</si>
  <si>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</si>
  <si>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</si>
  <si>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</si>
  <si>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</si>
  <si>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</si>
  <si>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</si>
  <si>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</si>
  <si>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</si>
  <si>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</si>
  <si>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</si>
  <si>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</si>
  <si>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</si>
  <si>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</si>
  <si>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</si>
  <si>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</si>
  <si>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</si>
  <si>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</si>
  <si>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</si>
  <si>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</si>
  <si>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</si>
  <si>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</si>
  <si>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</si>
  <si>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</si>
  <si>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</si>
  <si>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</si>
  <si>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</si>
  <si>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</si>
  <si>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</si>
  <si>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</si>
  <si>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</si>
  <si>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</si>
  <si>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</si>
  <si>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</si>
  <si>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</si>
  <si>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</si>
  <si>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</si>
  <si>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</si>
  <si>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</si>
  <si>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</si>
  <si>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</si>
  <si>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</si>
  <si>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</si>
  <si>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</si>
  <si>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</si>
  <si>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</si>
  <si>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</si>
  <si>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</si>
  <si>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</si>
  <si>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</si>
  <si>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</si>
  <si>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</si>
  <si>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</si>
  <si>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</si>
  <si>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</si>
  <si>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</si>
  <si>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</si>
  <si>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</si>
  <si>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</si>
  <si>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</si>
  <si>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</si>
  <si>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</si>
  <si>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</si>
  <si>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</si>
  <si>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</si>
  <si>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</si>
  <si>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</si>
  <si>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</si>
  <si>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</si>
  <si>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</si>
  <si>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</si>
  <si>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</si>
  <si>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</si>
  <si>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</si>
  <si>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</si>
  <si>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</si>
  <si>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</si>
  <si>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</si>
  <si>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</si>
  <si>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</si>
  <si>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</si>
  <si>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</si>
  <si>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</si>
  <si>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</si>
  <si>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</si>
  <si>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</si>
  <si>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</si>
  <si>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</si>
  <si>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</si>
  <si>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</si>
  <si>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</si>
  <si>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</si>
  <si>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</si>
  <si>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</si>
  <si>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</si>
  <si>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</si>
  <si>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Count of Client ID</t>
  </si>
  <si>
    <t>Row Labels</t>
  </si>
  <si>
    <t>Grand Total</t>
  </si>
  <si>
    <t>Inspection Status</t>
  </si>
  <si>
    <t>Total Leads</t>
  </si>
  <si>
    <t>Clients</t>
  </si>
  <si>
    <t>Conversion Rate</t>
  </si>
  <si>
    <t>Values</t>
  </si>
  <si>
    <t>Potential Clients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</si>
</sst>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0%;0.00%"/>
    <numFmt numFmtId="165" formatCode="[$-809]dd\ mmmm\ yyyy;@"/>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3" fontId="0" fillId="0" borderId="0" xfId="0" applyNumberFormat="1"/>
    <xf numFmtId="164" fontId="0" fillId="0" borderId="0" xfId="0" applyNumberFormat="1"/>
    <xf numFmtId="10" fontId="0" fillId="0" borderId="0" xfId="1" applyNumberFormat="1" applyFont="1"/>
    <xf numFmtId="165" fontId="0" fillId="0" borderId="0" xfId="0" applyNumberFormat="1"/>
  </cellXfs>
  <cellStyles count="2">
    <cellStyle name="Normal" xfId="0" builtinId="0"/>
    <cellStyle name="Percent" xfId="1" builtinId="5"/>
  </cellStyles>
  <dxfs count="13">
    <dxf>
      <numFmt numFmtId="0" formatCode="General"/>
    </dxf>
    <dxf>
      <numFmt numFmtId="0" formatCode="General"/>
    </dxf>
    <dxf>
      <numFmt numFmtId="0" formatCode="General"/>
    </dxf>
    <dxf>
      <numFmt numFmtId="0" formatCode="General"/>
    </dxf>
    <dxf>
      <numFmt numFmtId="19" formatCode="dd/mm/yy"/>
    </dxf>
    <dxf>
      <numFmt numFmtId="0" formatCode="General"/>
    </dxf>
    <dxf>
      <numFmt numFmtId="0" formatCode="General"/>
    </dxf>
    <dxf>
      <numFmt numFmtId="0" formatCode="General"/>
    </dxf>
    <dxf>
      <font>
        <sz val="10"/>
      </font>
      <fill>
        <patternFill>
          <bgColor rgb="FFE6E7EB"/>
        </patternFill>
      </fill>
      <border diagonalUp="0" diagonalDown="0">
        <left/>
        <right/>
        <top/>
        <bottom/>
        <vertical/>
        <horizontal/>
      </border>
    </dxf>
    <dxf>
      <font>
        <sz val="10"/>
      </font>
      <fill>
        <patternFill>
          <bgColor rgb="FFE6E7EB"/>
        </patternFill>
      </fill>
      <border diagonalUp="0" diagonalDown="0">
        <left/>
        <right/>
        <top/>
        <bottom/>
        <vertical/>
        <horizontal/>
      </border>
    </dxf>
    <dxf>
      <font>
        <sz val="10"/>
      </font>
      <fill>
        <patternFill>
          <bgColor rgb="FF2E1165"/>
        </patternFill>
      </fill>
      <border diagonalUp="0" diagonalDown="0">
        <left/>
        <right/>
        <top/>
        <bottom/>
        <vertical/>
        <horizontal/>
      </border>
    </dxf>
    <dxf>
      <font>
        <sz val="10"/>
      </font>
      <fill>
        <patternFill>
          <bgColor rgb="FFE6E7EB"/>
        </patternFill>
      </fill>
      <border diagonalUp="0" diagonalDown="0">
        <left/>
        <right/>
        <top/>
        <bottom/>
        <vertical/>
        <horizontal/>
      </border>
    </dxf>
    <dxf>
      <font>
        <sz val="10"/>
      </font>
      <border diagonalUp="0" diagonalDown="0">
        <left/>
        <right/>
        <top/>
        <bottom/>
        <vertical/>
        <horizontal/>
      </border>
    </dxf>
  </dxfs>
  <tableStyles count="5" defaultTableStyle="TableStyleMedium2" defaultPivotStyle="PivotStyleLight16">
    <tableStyle name="Slicer Style 1" pivot="0" table="0" count="3" xr9:uid="{8CA359E1-85BC-466B-BBEA-A389BA002C36}">
      <tableStyleElement type="wholeTable" dxfId="12"/>
    </tableStyle>
    <tableStyle name="Slicer Style 2" pivot="0" table="0" count="3" xr9:uid="{ADD833C3-B24E-4704-AFDA-DC8B45A1F687}">
      <tableStyleElement type="wholeTable" dxfId="11"/>
    </tableStyle>
    <tableStyle name="Slicer Style 3" pivot="0" table="0" count="3" xr9:uid="{48B16E68-7E26-4DB7-9B67-FA47E3CF1516}">
      <tableStyleElement type="wholeTable" dxfId="10"/>
    </tableStyle>
    <tableStyle name="Slicer Style 4" pivot="0" table="0" count="3" xr9:uid="{EFBC3522-2E47-4363-91B6-1864AADE899E}">
      <tableStyleElement type="wholeTable" dxfId="9"/>
    </tableStyle>
    <tableStyle name="Slicer Style 5" pivot="0" table="0" count="3" xr9:uid="{B4DAD1EA-B733-4364-9252-D87DA1074FBD}">
      <tableStyleElement type="wholeTable" dxfId="8"/>
    </tableStyle>
  </tableStyles>
  <colors>
    <mruColors>
      <color rgb="FFE6E7EB"/>
      <color rgb="FF20A39E"/>
      <color rgb="FF2E1165"/>
      <color rgb="FF2E1167"/>
    </mruColors>
  </colors>
  <extLst>
    <ext xmlns:x14="http://schemas.microsoft.com/office/spreadsheetml/2009/9/main" uri="{46F421CA-312F-682f-3DD2-61675219B42D}">
      <x14:dxfs count="10">
        <dxf>
          <font>
            <sz val="10"/>
            <color rgb="FFE6E7EB"/>
          </font>
          <fill>
            <patternFill>
              <bgColor rgb="FF2E1165"/>
            </patternFill>
          </fill>
          <border diagonalUp="0" diagonalDown="0">
            <left/>
            <right/>
            <top/>
            <bottom/>
            <vertical/>
            <horizontal/>
          </border>
        </dxf>
        <dxf>
          <font>
            <sz val="10"/>
          </font>
          <fill>
            <patternFill>
              <bgColor rgb="FFE6E7EB"/>
            </patternFill>
          </fill>
          <border diagonalUp="0" diagonalDown="0">
            <left/>
            <right/>
            <top/>
            <bottom/>
            <vertical/>
            <horizontal/>
          </border>
        </dxf>
        <dxf>
          <font>
            <sz val="10"/>
            <color rgb="FFE6E7EB"/>
          </font>
          <fill>
            <patternFill>
              <bgColor rgb="FF2E1165"/>
            </patternFill>
          </fill>
          <border diagonalUp="0" diagonalDown="0">
            <left/>
            <right/>
            <top/>
            <bottom/>
            <vertical/>
            <horizontal/>
          </border>
        </dxf>
        <dxf>
          <font>
            <sz val="10"/>
          </font>
          <fill>
            <patternFill>
              <bgColor rgb="FFE6E7EB"/>
            </patternFill>
          </fill>
          <border diagonalUp="0" diagonalDown="0">
            <left/>
            <right/>
            <top/>
            <bottom/>
            <vertical/>
            <horizontal/>
          </border>
        </dxf>
        <dxf>
          <font>
            <sz val="10"/>
            <color rgb="FF2E1165"/>
          </font>
          <fill>
            <patternFill>
              <bgColor rgb="FFE6E7EB"/>
            </patternFill>
          </fill>
          <border diagonalUp="0" diagonalDown="0">
            <left/>
            <right/>
            <top/>
            <bottom/>
            <vertical/>
            <horizontal/>
          </border>
        </dxf>
        <dxf>
          <font>
            <sz val="10"/>
            <color rgb="FF2E1167"/>
          </font>
          <fill>
            <patternFill>
              <bgColor rgb="FFE6E7EB"/>
            </patternFill>
          </fill>
          <border diagonalUp="0" diagonalDown="0">
            <left/>
            <right/>
            <top/>
            <bottom/>
            <vertical/>
            <horizontal/>
          </border>
        </dxf>
        <dxf>
          <font>
            <sz val="10"/>
            <color rgb="FFE6E7EB"/>
          </font>
          <fill>
            <patternFill>
              <bgColor rgb="FF2E1165"/>
            </patternFill>
          </fill>
          <border diagonalUp="0" diagonalDown="0">
            <left/>
            <right/>
            <top/>
            <bottom/>
            <vertical/>
            <horizontal/>
          </border>
        </dxf>
        <dxf>
          <fill>
            <patternFill>
              <bgColor rgb="FFE6E7EB"/>
            </patternFill>
          </fill>
          <border diagonalUp="0" diagonalDown="0">
            <left/>
            <right/>
            <top/>
            <bottom/>
            <vertical/>
            <horizontal/>
          </border>
        </dxf>
        <dxf>
          <font>
            <sz val="10"/>
            <color theme="0"/>
          </font>
          <fill>
            <patternFill>
              <bgColor rgb="FF2E1165"/>
            </patternFill>
          </fill>
          <border diagonalUp="0" diagonalDown="0">
            <left/>
            <right/>
            <top/>
            <bottom/>
            <vertical/>
            <horizontal/>
          </border>
        </dxf>
        <dxf>
          <font>
            <sz val="10"/>
          </font>
          <fill>
            <patternFill>
              <bgColor rgb="FFE6E7EB"/>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9"/>
            <x14:slicerStyleElement type="selectedItemWithData" dxfId="8"/>
          </x14:slicerStyleElements>
        </x14:slicerStyle>
        <x14:slicerStyle name="Slicer Style 2">
          <x14:slicerStyleElements>
            <x14:slicerStyleElement type="unselectedItemWithData" dxfId="7"/>
            <x14:slicerStyleElement type="selectedItemWithData" dxfId="6"/>
          </x14:slicerStyleElements>
        </x14:slicerStyle>
        <x14:slicerStyle name="Slicer Style 3">
          <x14:slicerStyleElements>
            <x14:slicerStyleElement type="unselectedItemWithData" dxfId="5"/>
            <x14:slicerStyleElement type="selectedItemWithData" dxfId="4"/>
          </x14:slicerStyleElements>
        </x14:slicerStyle>
        <x14:slicerStyle name="Slicer Style 4">
          <x14:slicerStyleElements>
            <x14:slicerStyleElement type="unselectedItemWithData" dxfId="3"/>
            <x14:slicerStyleElement type="selectedItemWithData" dxfId="2"/>
          </x14:slicerStyleElements>
        </x14:slicerStyle>
        <x14:slicerStyle name="Slicer Style 5">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microsoft.com/office/2007/relationships/slicerCache" Target="slicerCaches/slicerCache1.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microsoft.com/office/2007/relationships/slicerCache" Target="slicerCaches/slicerCache4.xml"/><Relationship Id="rId28" Type="http://schemas.openxmlformats.org/officeDocument/2006/relationships/powerPivotData" Target="model/item.data"/><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microsoft.com/office/2007/relationships/slicerCache" Target="slicerCaches/slicerCache3.xml"/><Relationship Id="rId27" Type="http://schemas.openxmlformats.org/officeDocument/2006/relationships/sharedStrings" Target="sharedString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[Emerald PP Ub.xlsx]Lead by States!PivotTable4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'Lead by States'!$D$3</c:f>
              <c:strCache>
                <c:ptCount val="1"/>
                <c:pt idx="0">
                  <c:v>Total</c:v>
                </c:pt>
              </c:strCache>
            </c:strRef>
          </c:tx>
          <c:spPr>
            <a:solidFill>
              <a:schemeClr val="accent1"/>
            </a:solidFill>
            <a:ln>
              <a:noFill/>
            </a:ln>
            <a:effectLst/>
          </c:spPr>
          <c:invertIfNegative val="0"/>
          <c:cat>
            <c:strRef>
              <c:f>'Lead by States'!$C$4:$C$6</c:f>
              <c:strCache>
                <c:ptCount val="2"/>
                <c:pt idx="0">
                  <c:v>Lagos</c:v>
                </c:pt>
                <c:pt idx="1">
                  <c:v>Rivers</c:v>
                </c:pt>
              </c:strCache>
            </c:strRef>
          </c:cat>
          <c:val>
            <c:numRef>
              <c:f>'Lead by States'!$D$4:$D$6</c:f>
              <c:numCache>
                <c:formatCode>General</c:formatCode>
                <c:ptCount val="2"/>
                <c:pt idx="0">
                  <c:v>132</c:v>
                </c:pt>
                <c:pt idx="1">
                  <c:v>93</c:v>
                </c:pt>
              </c:numCache>
            </c:numRef>
          </c:val>
          <c:extLst>
            <c:ext xmlns:c16="http://schemas.microsoft.com/office/drawing/2014/chart" uri="{C3380CC4-5D6E-409C-BE32-E72D297353CC}">
              <c16:uniqueId val="{00000000-A3A3-4725-A2A4-4B99D056C11D}"/>
            </c:ext>
          </c:extLst>
        </c:ser>
        <c:dLbls>
          <c:showLegendKey val="0"/>
          <c:showVal val="0"/>
          <c:showCatName val="0"/>
          <c:showSerName val="0"/>
          <c:showPercent val="0"/>
          <c:showBubbleSize val="0"/>
        </c:dLbls>
        <c:gapWidth val="219"/>
        <c:overlap val="-27"/>
        <c:axId val="2033355103"/>
        <c:axId val="2033353439"/>
      </c:barChart>
      <c:catAx>
        <c:axId val="2033355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353439"/>
        <c:crosses val="autoZero"/>
        <c:auto val="1"/>
        <c:lblAlgn val="ctr"/>
        <c:lblOffset val="100"/>
        <c:noMultiLvlLbl val="0"/>
      </c:catAx>
      <c:valAx>
        <c:axId val="2033353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355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[Emerald PP Ub.xlsx]Lead by Gender!PivotTable16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barChart>
        <c:barDir val="col"/>
        <c:grouping val="clustered"/>
        <c:varyColors val="0"/>
        <c:ser>
          <c:idx val="0"/>
          <c:order val="0"/>
          <c:tx>
            <c:strRef>
              <c:f>'Lead by Gender'!$C$3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94E8-430B-90BC-7499E70B547A}"/>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94E8-430B-90BC-7499E70B547A}"/>
              </c:ext>
            </c:extLst>
          </c:dPt>
          <c:cat>
            <c:strRef>
              <c:f>'Lead by Gender'!$B$4:$B$6</c:f>
              <c:strCache>
                <c:ptCount val="2"/>
                <c:pt idx="0">
                  <c:v>Female</c:v>
                </c:pt>
                <c:pt idx="1">
                  <c:v>Male</c:v>
                </c:pt>
              </c:strCache>
            </c:strRef>
          </c:cat>
          <c:val>
            <c:numRef>
              <c:f>'Lead by Gender'!$C$4:$C$6</c:f>
              <c:numCache>
                <c:formatCode>General</c:formatCode>
                <c:ptCount val="2"/>
                <c:pt idx="0">
                  <c:v>124</c:v>
                </c:pt>
                <c:pt idx="1">
                  <c:v>101</c:v>
                </c:pt>
              </c:numCache>
            </c:numRef>
          </c:val>
          <c:extLst>
            <c:ext xmlns:c16="http://schemas.microsoft.com/office/drawing/2014/chart" uri="{C3380CC4-5D6E-409C-BE32-E72D297353CC}">
              <c16:uniqueId val="{00000000-404F-417C-AF6D-78951E897434}"/>
            </c:ext>
          </c:extLst>
        </c:ser>
        <c:dLbls>
          <c:showLegendKey val="0"/>
          <c:showVal val="0"/>
          <c:showCatName val="0"/>
          <c:showSerName val="0"/>
          <c:showPercent val="0"/>
          <c:showBubbleSize val="0"/>
        </c:dLbls>
        <c:gapWidth val="100"/>
        <c:axId val="1488148415"/>
        <c:axId val="1488152159"/>
      </c:barChart>
      <c:catAx>
        <c:axId val="14881484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152159"/>
        <c:crosses val="autoZero"/>
        <c:auto val="1"/>
        <c:lblAlgn val="ctr"/>
        <c:lblOffset val="100"/>
        <c:noMultiLvlLbl val="0"/>
      </c:catAx>
      <c:valAx>
        <c:axId val="1488152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148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[Emerald PP Ub.xlsx]Lead by Sales Rep.!PivotTable17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'Lead by Sales Rep.'!$D$4</c:f>
              <c:strCache>
                <c:ptCount val="1"/>
                <c:pt idx="0">
                  <c:v>Total</c:v>
                </c:pt>
              </c:strCache>
            </c:strRef>
          </c:tx>
          <c:spPr>
            <a:solidFill>
              <a:schemeClr val="accent1"/>
            </a:solidFill>
            <a:ln>
              <a:noFill/>
            </a:ln>
            <a:effectLst/>
          </c:spPr>
          <c:invertIfNegative val="0"/>
          <c:cat>
            <c:strRef>
              <c:f>'Lead by Sales Rep.'!$C$5:$C$11</c:f>
              <c:strCache>
                <c:ptCount val="6"/>
                <c:pt idx="0">
                  <c:v>Ahmed</c:v>
                </c:pt>
                <c:pt idx="1">
                  <c:v>Chioma</c:v>
                </c:pt>
                <c:pt idx="2">
                  <c:v>Ekemini</c:v>
                </c:pt>
                <c:pt idx="3">
                  <c:v>Funmi</c:v>
                </c:pt>
                <c:pt idx="4">
                  <c:v>Idara</c:v>
                </c:pt>
                <c:pt idx="5">
                  <c:v>Ngozi</c:v>
                </c:pt>
              </c:strCache>
            </c:strRef>
          </c:cat>
          <c:val>
            <c:numRef>
              <c:f>'Lead by Sales Rep.'!$D$5:$D$11</c:f>
              <c:numCache>
                <c:formatCode>General</c:formatCode>
                <c:ptCount val="6"/>
                <c:pt idx="0">
                  <c:v>22</c:v>
                </c:pt>
                <c:pt idx="1">
                  <c:v>48</c:v>
                </c:pt>
                <c:pt idx="2">
                  <c:v>42</c:v>
                </c:pt>
                <c:pt idx="3">
                  <c:v>49</c:v>
                </c:pt>
                <c:pt idx="4">
                  <c:v>43</c:v>
                </c:pt>
                <c:pt idx="5">
                  <c:v>21</c:v>
                </c:pt>
              </c:numCache>
            </c:numRef>
          </c:val>
          <c:extLst>
            <c:ext xmlns:c16="http://schemas.microsoft.com/office/drawing/2014/chart" uri="{C3380CC4-5D6E-409C-BE32-E72D297353CC}">
              <c16:uniqueId val="{00000000-6DFC-4E73-A33C-C96E5AA240FA}"/>
            </c:ext>
          </c:extLst>
        </c:ser>
        <c:dLbls>
          <c:showLegendKey val="0"/>
          <c:showVal val="0"/>
          <c:showCatName val="0"/>
          <c:showSerName val="0"/>
          <c:showPercent val="0"/>
          <c:showBubbleSize val="0"/>
        </c:dLbls>
        <c:gapWidth val="219"/>
        <c:overlap val="-27"/>
        <c:axId val="950276175"/>
        <c:axId val="950275343"/>
      </c:barChart>
      <c:catAx>
        <c:axId val="950276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275343"/>
        <c:crosses val="autoZero"/>
        <c:auto val="1"/>
        <c:lblAlgn val="ctr"/>
        <c:lblOffset val="100"/>
        <c:noMultiLvlLbl val="0"/>
      </c:catAx>
      <c:valAx>
        <c:axId val="950275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276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[Emerald PP Ub.xlsx]Leads by Sales Status!PivotTable18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'Leads by Sales Status'!$D$5</c:f>
              <c:strCache>
                <c:ptCount val="1"/>
                <c:pt idx="0">
                  <c:v>Total</c:v>
                </c:pt>
              </c:strCache>
            </c:strRef>
          </c:tx>
          <c:spPr>
            <a:solidFill>
              <a:schemeClr val="accent1"/>
            </a:solidFill>
            <a:ln>
              <a:noFill/>
            </a:ln>
            <a:effectLst/>
          </c:spPr>
          <c:invertIfNegative val="0"/>
          <c:cat>
            <c:strRef>
              <c:f>'Leads by Sales Status'!$C$6:$C$10</c:f>
              <c:strCache>
                <c:ptCount val="4"/>
                <c:pt idx="0">
                  <c:v>Next Time</c:v>
                </c:pt>
                <c:pt idx="1">
                  <c:v>Not Interested</c:v>
                </c:pt>
                <c:pt idx="2">
                  <c:v>Paid</c:v>
                </c:pt>
                <c:pt idx="3">
                  <c:v>Too Expensive</c:v>
                </c:pt>
              </c:strCache>
            </c:strRef>
          </c:cat>
          <c:val>
            <c:numRef>
              <c:f>'Leads by Sales Status'!$D$6:$D$10</c:f>
              <c:numCache>
                <c:formatCode>General</c:formatCode>
                <c:ptCount val="4"/>
                <c:pt idx="0">
                  <c:v>30</c:v>
                </c:pt>
                <c:pt idx="1">
                  <c:v>57</c:v>
                </c:pt>
                <c:pt idx="2">
                  <c:v>100</c:v>
                </c:pt>
                <c:pt idx="3">
                  <c:v>38</c:v>
                </c:pt>
              </c:numCache>
            </c:numRef>
          </c:val>
          <c:extLst>
            <c:ext xmlns:c16="http://schemas.microsoft.com/office/drawing/2014/chart" uri="{C3380CC4-5D6E-409C-BE32-E72D297353CC}">
              <c16:uniqueId val="{00000000-4101-464A-A380-0535B04490F3}"/>
            </c:ext>
          </c:extLst>
        </c:ser>
        <c:dLbls>
          <c:showLegendKey val="0"/>
          <c:showVal val="0"/>
          <c:showCatName val="0"/>
          <c:showSerName val="0"/>
          <c:showPercent val="0"/>
          <c:showBubbleSize val="0"/>
        </c:dLbls>
        <c:gapWidth val="182"/>
        <c:axId val="625574431"/>
        <c:axId val="961784335"/>
      </c:barChart>
      <c:catAx>
        <c:axId val="625574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784335"/>
        <c:crosses val="autoZero"/>
        <c:auto val="1"/>
        <c:lblAlgn val="ctr"/>
        <c:lblOffset val="100"/>
        <c:noMultiLvlLbl val="0"/>
      </c:catAx>
      <c:valAx>
        <c:axId val="9617843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574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[Emerald PP Ub.xlsx]Lead by Property Type!PivotTable20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pieChart>
        <c:varyColors val="1"/>
        <c:ser>
          <c:idx val="0"/>
          <c:order val="0"/>
          <c:tx>
            <c:strRef>
              <c:f>'Lead by Property Type'!$D$4</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4F0D-4CF0-87C6-90F527AFA026}"/>
              </c:ext>
            </c:extLst>
          </c:dPt>
          <c:dPt>
            <c:idx val="1"/>
            <c:bubble3D val="0"/>
            <c:spPr>
              <a:solidFill>
                <a:schemeClr val="accent2"/>
              </a:solidFill>
              <a:ln>
                <a:noFill/>
              </a:ln>
              <a:effectLst/>
            </c:spPr>
            <c:extLst>
              <c:ext xmlns:c16="http://schemas.microsoft.com/office/drawing/2014/chart" uri="{C3380CC4-5D6E-409C-BE32-E72D297353CC}">
                <c16:uniqueId val="{00000003-4F0D-4CF0-87C6-90F527AFA026}"/>
              </c:ext>
            </c:extLst>
          </c:dPt>
          <c:dPt>
            <c:idx val="2"/>
            <c:bubble3D val="0"/>
            <c:spPr>
              <a:solidFill>
                <a:schemeClr val="accent3"/>
              </a:solidFill>
              <a:ln>
                <a:noFill/>
              </a:ln>
              <a:effectLst/>
            </c:spPr>
            <c:extLst>
              <c:ext xmlns:c16="http://schemas.microsoft.com/office/drawing/2014/chart" uri="{C3380CC4-5D6E-409C-BE32-E72D297353CC}">
                <c16:uniqueId val="{00000005-4F0D-4CF0-87C6-90F527AFA026}"/>
              </c:ext>
            </c:extLst>
          </c:dPt>
          <c:cat>
            <c:strRef>
              <c:f>'Lead by Property Type'!$C$5:$C$8</c:f>
              <c:strCache>
                <c:ptCount val="3"/>
                <c:pt idx="0">
                  <c:v>Commercial</c:v>
                </c:pt>
                <c:pt idx="1">
                  <c:v>Industrial</c:v>
                </c:pt>
                <c:pt idx="2">
                  <c:v>Residential</c:v>
                </c:pt>
              </c:strCache>
            </c:strRef>
          </c:cat>
          <c:val>
            <c:numRef>
              <c:f>'Lead by Property Type'!$D$5:$D$8</c:f>
              <c:numCache>
                <c:formatCode>General</c:formatCode>
                <c:ptCount val="3"/>
                <c:pt idx="0">
                  <c:v>104</c:v>
                </c:pt>
                <c:pt idx="1">
                  <c:v>22</c:v>
                </c:pt>
                <c:pt idx="2">
                  <c:v>99</c:v>
                </c:pt>
              </c:numCache>
            </c:numRef>
          </c:val>
          <c:extLst>
            <c:ext xmlns:c16="http://schemas.microsoft.com/office/drawing/2014/chart" uri="{C3380CC4-5D6E-409C-BE32-E72D297353CC}">
              <c16:uniqueId val="{00000000-4DE3-4BC0-B7FE-FFF93A81F10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[Emerald PP Ub.xlsx]Lead by States!PivotTable4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Leads by States</a:t>
            </a:r>
          </a:p>
        </c:rich>
      </c:tx>
      <c:layout>
        <c:manualLayout>
          <c:xMode val="edge"/>
          <c:yMode val="edge"/>
          <c:x val="1.977777777777779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E116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28668756830929"/>
          <c:y val="0.17627161220609652"/>
          <c:w val="0.64165485564304459"/>
          <c:h val="0.7006944444444444"/>
        </c:manualLayout>
      </c:layout>
      <c:barChart>
        <c:barDir val="bar"/>
        <c:grouping val="clustered"/>
        <c:varyColors val="0"/>
        <c:ser>
          <c:idx val="0"/>
          <c:order val="0"/>
          <c:tx>
            <c:strRef>
              <c:f>'Lead by States'!$D$3</c:f>
              <c:strCache>
                <c:ptCount val="1"/>
                <c:pt idx="0">
                  <c:v>Total</c:v>
                </c:pt>
              </c:strCache>
            </c:strRef>
          </c:tx>
          <c:spPr>
            <a:solidFill>
              <a:srgbClr val="2E116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'Lead by States'!$C$4:$C$6</c:f>
              <c:strCache>
                <c:ptCount val="2"/>
                <c:pt idx="0">
                  <c:v>Lagos</c:v>
                </c:pt>
                <c:pt idx="1">
                  <c:v>Rivers</c:v>
                </c:pt>
              </c:strCache>
            </c:strRef>
          </c:cat>
          <c:val>
            <c:numRef>
              <c:f>'Lead by States'!$D$4:$D$6</c:f>
              <c:numCache>
                <c:formatCode>General</c:formatCode>
                <c:ptCount val="2"/>
                <c:pt idx="0">
                  <c:v>132</c:v>
                </c:pt>
                <c:pt idx="1">
                  <c:v>93</c:v>
                </c:pt>
              </c:numCache>
            </c:numRef>
          </c:val>
          <c:extLst>
            <c:ext xmlns:c16="http://schemas.microsoft.com/office/drawing/2014/chart" uri="{C3380CC4-5D6E-409C-BE32-E72D297353CC}">
              <c16:uniqueId val="{00000000-082E-45E9-92F9-C250C8F868CC}"/>
            </c:ext>
          </c:extLst>
        </c:ser>
        <c:dLbls>
          <c:dLblPos val="outEnd"/>
          <c:showLegendKey val="0"/>
          <c:showVal val="1"/>
          <c:showCatName val="0"/>
          <c:showSerName val="0"/>
          <c:showPercent val="0"/>
          <c:showBubbleSize val="0"/>
        </c:dLbls>
        <c:gapWidth val="284"/>
        <c:axId val="2033355103"/>
        <c:axId val="2033353439"/>
      </c:barChart>
      <c:catAx>
        <c:axId val="203335510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353439"/>
        <c:crosses val="autoZero"/>
        <c:auto val="1"/>
        <c:lblAlgn val="ctr"/>
        <c:lblOffset val="100"/>
        <c:noMultiLvlLbl val="0"/>
      </c:catAx>
      <c:valAx>
        <c:axId val="2033353439"/>
        <c:scaling>
          <c:orientation val="minMax"/>
        </c:scaling>
        <c:delete val="1"/>
        <c:axPos val="b"/>
        <c:numFmt formatCode="General" sourceLinked="1"/>
        <c:majorTickMark val="none"/>
        <c:minorTickMark val="none"/>
        <c:tickLblPos val="nextTo"/>
        <c:crossAx val="2033355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[Emerald PP Ub.xlsx]Lead by Gender!PivotTable16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Leads by</a:t>
            </a:r>
            <a:r>
              <a:rPr lang="en-US" sz="1200" baseline="0"/>
              <a:t> Gender</a:t>
            </a:r>
            <a:endParaRPr lang="en-US" sz="1200"/>
          </a:p>
        </c:rich>
      </c:tx>
      <c:layout>
        <c:manualLayout>
          <c:xMode val="edge"/>
          <c:yMode val="edge"/>
          <c:x val="2.0277777777777811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2E116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2E1165"/>
          </a:solidFill>
          <a:ln w="19050">
            <a:solidFill>
              <a:schemeClr val="lt1"/>
            </a:solidFill>
          </a:ln>
          <a:effectLst/>
        </c:spPr>
      </c:pivotFmt>
      <c:pivotFmt>
        <c:idx val="8"/>
        <c:spPr>
          <a:solidFill>
            <a:srgbClr val="2E1165"/>
          </a:solidFill>
          <a:ln w="19050">
            <a:solidFill>
              <a:schemeClr val="lt1"/>
            </a:solidFill>
          </a:ln>
          <a:effectLst/>
        </c:spPr>
      </c:pivotFmt>
    </c:pivotFmts>
    <c:plotArea>
      <c:layout>
        <c:manualLayout>
          <c:layoutTarget val="inner"/>
          <c:xMode val="edge"/>
          <c:yMode val="edge"/>
          <c:x val="0.15043199671215474"/>
          <c:y val="0.16957528036268193"/>
          <c:w val="0.64145625546806651"/>
          <c:h val="0.66273950131233583"/>
        </c:manualLayout>
      </c:layout>
      <c:barChart>
        <c:barDir val="col"/>
        <c:grouping val="clustered"/>
        <c:varyColors val="0"/>
        <c:ser>
          <c:idx val="0"/>
          <c:order val="0"/>
          <c:tx>
            <c:strRef>
              <c:f>'Lead by Gender'!$C$3</c:f>
              <c:strCache>
                <c:ptCount val="1"/>
                <c:pt idx="0">
                  <c:v>Total</c:v>
                </c:pt>
              </c:strCache>
            </c:strRef>
          </c:tx>
          <c:spPr>
            <a:solidFill>
              <a:srgbClr val="2E1165"/>
            </a:solidFill>
            <a:ln w="19050">
              <a:solidFill>
                <a:schemeClr val="lt1"/>
              </a:solidFill>
            </a:ln>
            <a:effectLst/>
          </c:spPr>
          <c:invertIfNegative val="0"/>
          <c:dPt>
            <c:idx val="0"/>
            <c:invertIfNegative val="0"/>
            <c:bubble3D val="0"/>
            <c:spPr>
              <a:solidFill>
                <a:srgbClr val="2E1165"/>
              </a:solidFill>
              <a:ln w="19050">
                <a:solidFill>
                  <a:schemeClr val="lt1"/>
                </a:solidFill>
              </a:ln>
              <a:effectLst/>
            </c:spPr>
            <c:extLst>
              <c:ext xmlns:c16="http://schemas.microsoft.com/office/drawing/2014/chart" uri="{C3380CC4-5D6E-409C-BE32-E72D297353CC}">
                <c16:uniqueId val="{00000001-859D-4921-9F23-D444E9A3438E}"/>
              </c:ext>
            </c:extLst>
          </c:dPt>
          <c:dPt>
            <c:idx val="1"/>
            <c:invertIfNegative val="0"/>
            <c:bubble3D val="0"/>
            <c:spPr>
              <a:solidFill>
                <a:srgbClr val="2E1165"/>
              </a:solidFill>
              <a:ln w="19050">
                <a:solidFill>
                  <a:schemeClr val="lt1"/>
                </a:solidFill>
              </a:ln>
              <a:effectLst/>
            </c:spPr>
            <c:extLst>
              <c:ext xmlns:c16="http://schemas.microsoft.com/office/drawing/2014/chart" uri="{C3380CC4-5D6E-409C-BE32-E72D297353CC}">
                <c16:uniqueId val="{00000003-859D-4921-9F23-D444E9A3438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'Lead by Gender'!$B$4:$B$6</c:f>
              <c:strCache>
                <c:ptCount val="2"/>
                <c:pt idx="0">
                  <c:v>Female</c:v>
                </c:pt>
                <c:pt idx="1">
                  <c:v>Male</c:v>
                </c:pt>
              </c:strCache>
            </c:strRef>
          </c:cat>
          <c:val>
            <c:numRef>
              <c:f>'Lead by Gender'!$C$4:$C$6</c:f>
              <c:numCache>
                <c:formatCode>General</c:formatCode>
                <c:ptCount val="2"/>
                <c:pt idx="0">
                  <c:v>124</c:v>
                </c:pt>
                <c:pt idx="1">
                  <c:v>101</c:v>
                </c:pt>
              </c:numCache>
            </c:numRef>
          </c:val>
          <c:extLst>
            <c:ext xmlns:c16="http://schemas.microsoft.com/office/drawing/2014/chart" uri="{C3380CC4-5D6E-409C-BE32-E72D297353CC}">
              <c16:uniqueId val="{00000004-859D-4921-9F23-D444E9A3438E}"/>
            </c:ext>
          </c:extLst>
        </c:ser>
        <c:dLbls>
          <c:dLblPos val="outEnd"/>
          <c:showLegendKey val="0"/>
          <c:showVal val="1"/>
          <c:showCatName val="0"/>
          <c:showSerName val="0"/>
          <c:showPercent val="0"/>
          <c:showBubbleSize val="0"/>
        </c:dLbls>
        <c:gapWidth val="325"/>
        <c:axId val="1488148415"/>
        <c:axId val="1488152159"/>
      </c:barChart>
      <c:catAx>
        <c:axId val="1488148415"/>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152159"/>
        <c:crosses val="autoZero"/>
        <c:auto val="1"/>
        <c:lblAlgn val="ctr"/>
        <c:lblOffset val="100"/>
        <c:noMultiLvlLbl val="0"/>
      </c:catAx>
      <c:valAx>
        <c:axId val="1488152159"/>
        <c:scaling>
          <c:orientation val="minMax"/>
        </c:scaling>
        <c:delete val="1"/>
        <c:axPos val="l"/>
        <c:numFmt formatCode="General" sourceLinked="1"/>
        <c:majorTickMark val="out"/>
        <c:minorTickMark val="none"/>
        <c:tickLblPos val="nextTo"/>
        <c:crossAx val="1488148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[Emerald PP Ub.xlsx]Lead by Sales Rep.!PivotTable17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Leads by Sales</a:t>
            </a:r>
            <a:r>
              <a:rPr lang="en-US" sz="1200" baseline="0"/>
              <a:t> Representative</a:t>
            </a:r>
            <a:endParaRPr lang="en-US" sz="1200"/>
          </a:p>
        </c:rich>
      </c:tx>
      <c:layout>
        <c:manualLayout>
          <c:xMode val="edge"/>
          <c:yMode val="edge"/>
          <c:x val="2.6148606424196981E-2"/>
          <c:y val="2.2529860397885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E116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358765499140199E-2"/>
          <c:y val="0.18728603218076001"/>
          <c:w val="0.78645603674540687"/>
          <c:h val="0.6222849861158658"/>
        </c:manualLayout>
      </c:layout>
      <c:barChart>
        <c:barDir val="col"/>
        <c:grouping val="clustered"/>
        <c:varyColors val="0"/>
        <c:ser>
          <c:idx val="0"/>
          <c:order val="0"/>
          <c:tx>
            <c:strRef>
              <c:f>'Lead by Sales Rep.'!$D$4</c:f>
              <c:strCache>
                <c:ptCount val="1"/>
                <c:pt idx="0">
                  <c:v>Total</c:v>
                </c:pt>
              </c:strCache>
            </c:strRef>
          </c:tx>
          <c:spPr>
            <a:solidFill>
              <a:srgbClr val="2E116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'Lead by Sales Rep.'!$C$5:$C$11</c:f>
              <c:strCache>
                <c:ptCount val="6"/>
                <c:pt idx="0">
                  <c:v>Ahmed</c:v>
                </c:pt>
                <c:pt idx="1">
                  <c:v>Chioma</c:v>
                </c:pt>
                <c:pt idx="2">
                  <c:v>Ekemini</c:v>
                </c:pt>
                <c:pt idx="3">
                  <c:v>Funmi</c:v>
                </c:pt>
                <c:pt idx="4">
                  <c:v>Idara</c:v>
                </c:pt>
                <c:pt idx="5">
                  <c:v>Ngozi</c:v>
                </c:pt>
              </c:strCache>
            </c:strRef>
          </c:cat>
          <c:val>
            <c:numRef>
              <c:f>'Lead by Sales Rep.'!$D$5:$D$11</c:f>
              <c:numCache>
                <c:formatCode>General</c:formatCode>
                <c:ptCount val="6"/>
                <c:pt idx="0">
                  <c:v>22</c:v>
                </c:pt>
                <c:pt idx="1">
                  <c:v>48</c:v>
                </c:pt>
                <c:pt idx="2">
                  <c:v>42</c:v>
                </c:pt>
                <c:pt idx="3">
                  <c:v>49</c:v>
                </c:pt>
                <c:pt idx="4">
                  <c:v>43</c:v>
                </c:pt>
                <c:pt idx="5">
                  <c:v>21</c:v>
                </c:pt>
              </c:numCache>
            </c:numRef>
          </c:val>
          <c:extLst>
            <c:ext xmlns:c16="http://schemas.microsoft.com/office/drawing/2014/chart" uri="{C3380CC4-5D6E-409C-BE32-E72D297353CC}">
              <c16:uniqueId val="{00000000-712E-42F3-8D33-88E12E0C2F36}"/>
            </c:ext>
          </c:extLst>
        </c:ser>
        <c:dLbls>
          <c:dLblPos val="outEnd"/>
          <c:showLegendKey val="0"/>
          <c:showVal val="1"/>
          <c:showCatName val="0"/>
          <c:showSerName val="0"/>
          <c:showPercent val="0"/>
          <c:showBubbleSize val="0"/>
        </c:dLbls>
        <c:gapWidth val="128"/>
        <c:overlap val="-27"/>
        <c:axId val="950276175"/>
        <c:axId val="950275343"/>
      </c:barChart>
      <c:catAx>
        <c:axId val="95027617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275343"/>
        <c:crosses val="autoZero"/>
        <c:auto val="1"/>
        <c:lblAlgn val="ctr"/>
        <c:lblOffset val="100"/>
        <c:noMultiLvlLbl val="0"/>
      </c:catAx>
      <c:valAx>
        <c:axId val="950275343"/>
        <c:scaling>
          <c:orientation val="minMax"/>
        </c:scaling>
        <c:delete val="1"/>
        <c:axPos val="l"/>
        <c:numFmt formatCode="General" sourceLinked="1"/>
        <c:majorTickMark val="none"/>
        <c:minorTickMark val="none"/>
        <c:tickLblPos val="nextTo"/>
        <c:crossAx val="950276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[Emerald PP Ub.xlsx]Leads by Sales Status!PivotTable18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Leads</a:t>
            </a:r>
            <a:r>
              <a:rPr lang="en-US" sz="1200" baseline="0"/>
              <a:t> by Sales Status</a:t>
            </a:r>
            <a:endParaRPr lang="en-US" sz="1200"/>
          </a:p>
        </c:rich>
      </c:tx>
      <c:layout>
        <c:manualLayout>
          <c:xMode val="edge"/>
          <c:yMode val="edge"/>
          <c:x val="1.440966754155729E-2"/>
          <c:y val="2.05920205920205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E116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848757140651536"/>
          <c:y val="0.21503586170428454"/>
          <c:w val="0.64753968253968253"/>
          <c:h val="0.6847685185185185"/>
        </c:manualLayout>
      </c:layout>
      <c:barChart>
        <c:barDir val="bar"/>
        <c:grouping val="clustered"/>
        <c:varyColors val="0"/>
        <c:ser>
          <c:idx val="0"/>
          <c:order val="0"/>
          <c:tx>
            <c:strRef>
              <c:f>'Leads by Sales Status'!$D$5</c:f>
              <c:strCache>
                <c:ptCount val="1"/>
                <c:pt idx="0">
                  <c:v>Total</c:v>
                </c:pt>
              </c:strCache>
            </c:strRef>
          </c:tx>
          <c:spPr>
            <a:solidFill>
              <a:srgbClr val="2E116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'Leads by Sales Status'!$C$6:$C$10</c:f>
              <c:strCache>
                <c:ptCount val="4"/>
                <c:pt idx="0">
                  <c:v>Next Time</c:v>
                </c:pt>
                <c:pt idx="1">
                  <c:v>Not Interested</c:v>
                </c:pt>
                <c:pt idx="2">
                  <c:v>Paid</c:v>
                </c:pt>
                <c:pt idx="3">
                  <c:v>Too Expensive</c:v>
                </c:pt>
              </c:strCache>
            </c:strRef>
          </c:cat>
          <c:val>
            <c:numRef>
              <c:f>'Leads by Sales Status'!$D$6:$D$10</c:f>
              <c:numCache>
                <c:formatCode>General</c:formatCode>
                <c:ptCount val="4"/>
                <c:pt idx="0">
                  <c:v>30</c:v>
                </c:pt>
                <c:pt idx="1">
                  <c:v>57</c:v>
                </c:pt>
                <c:pt idx="2">
                  <c:v>100</c:v>
                </c:pt>
                <c:pt idx="3">
                  <c:v>38</c:v>
                </c:pt>
              </c:numCache>
            </c:numRef>
          </c:val>
          <c:extLst>
            <c:ext xmlns:c16="http://schemas.microsoft.com/office/drawing/2014/chart" uri="{C3380CC4-5D6E-409C-BE32-E72D297353CC}">
              <c16:uniqueId val="{00000000-609E-4A29-863C-A5387DD3C15B}"/>
            </c:ext>
          </c:extLst>
        </c:ser>
        <c:dLbls>
          <c:dLblPos val="outEnd"/>
          <c:showLegendKey val="0"/>
          <c:showVal val="1"/>
          <c:showCatName val="0"/>
          <c:showSerName val="0"/>
          <c:showPercent val="0"/>
          <c:showBubbleSize val="0"/>
        </c:dLbls>
        <c:gapWidth val="104"/>
        <c:axId val="625574431"/>
        <c:axId val="961784335"/>
      </c:barChart>
      <c:catAx>
        <c:axId val="62557443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784335"/>
        <c:crosses val="autoZero"/>
        <c:auto val="1"/>
        <c:lblAlgn val="ctr"/>
        <c:lblOffset val="100"/>
        <c:noMultiLvlLbl val="0"/>
      </c:catAx>
      <c:valAx>
        <c:axId val="961784335"/>
        <c:scaling>
          <c:orientation val="minMax"/>
        </c:scaling>
        <c:delete val="1"/>
        <c:axPos val="b"/>
        <c:numFmt formatCode="General" sourceLinked="1"/>
        <c:majorTickMark val="none"/>
        <c:minorTickMark val="none"/>
        <c:tickLblPos val="nextTo"/>
        <c:crossAx val="625574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[Emerald PP Ub.xlsx]Lead by Property Type!PivotTable20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Leads by Property Type</a:t>
            </a:r>
          </a:p>
        </c:rich>
      </c:tx>
      <c:layout>
        <c:manualLayout>
          <c:xMode val="edge"/>
          <c:yMode val="edge"/>
          <c:x val="2.1763779527559042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2E1165"/>
          </a:solidFill>
          <a:ln>
            <a:noFill/>
          </a:ln>
          <a:effectLst/>
        </c:spPr>
      </c:pivotFmt>
      <c:pivotFmt>
        <c:idx val="10"/>
        <c:spPr>
          <a:solidFill>
            <a:srgbClr val="20A39E"/>
          </a:solidFill>
          <a:ln>
            <a:noFill/>
          </a:ln>
          <a:effectLst/>
        </c:spPr>
      </c:pivotFmt>
      <c:pivotFmt>
        <c:idx val="11"/>
        <c:spPr>
          <a:solidFill>
            <a:srgbClr val="E6E7EB"/>
          </a:solidFill>
          <a:ln>
            <a:noFill/>
          </a:ln>
          <a:effectLst/>
        </c:spPr>
      </c:pivotFmt>
    </c:pivotFmts>
    <c:plotArea>
      <c:layout>
        <c:manualLayout>
          <c:layoutTarget val="inner"/>
          <c:xMode val="edge"/>
          <c:yMode val="edge"/>
          <c:x val="0.32459645669291343"/>
          <c:y val="0.16467581497964928"/>
          <c:w val="0.46138123359580052"/>
          <c:h val="0.60180160903800073"/>
        </c:manualLayout>
      </c:layout>
      <c:pieChart>
        <c:varyColors val="1"/>
        <c:ser>
          <c:idx val="0"/>
          <c:order val="0"/>
          <c:tx>
            <c:strRef>
              <c:f>'Lead by Property Type'!$D$4</c:f>
              <c:strCache>
                <c:ptCount val="1"/>
                <c:pt idx="0">
                  <c:v>Total</c:v>
                </c:pt>
              </c:strCache>
            </c:strRef>
          </c:tx>
          <c:spPr>
            <a:ln>
              <a:noFill/>
            </a:ln>
          </c:spPr>
          <c:dPt>
            <c:idx val="0"/>
            <c:bubble3D val="0"/>
            <c:spPr>
              <a:solidFill>
                <a:srgbClr val="2E1165"/>
              </a:solidFill>
              <a:ln>
                <a:noFill/>
              </a:ln>
              <a:effectLst/>
            </c:spPr>
            <c:extLst>
              <c:ext xmlns:c16="http://schemas.microsoft.com/office/drawing/2014/chart" uri="{C3380CC4-5D6E-409C-BE32-E72D297353CC}">
                <c16:uniqueId val="{00000001-EC1C-444F-9FD1-F6D726B683C6}"/>
              </c:ext>
            </c:extLst>
          </c:dPt>
          <c:dPt>
            <c:idx val="1"/>
            <c:bubble3D val="0"/>
            <c:spPr>
              <a:solidFill>
                <a:srgbClr val="20A39E"/>
              </a:solidFill>
              <a:ln>
                <a:noFill/>
              </a:ln>
              <a:effectLst/>
            </c:spPr>
            <c:extLst>
              <c:ext xmlns:c16="http://schemas.microsoft.com/office/drawing/2014/chart" uri="{C3380CC4-5D6E-409C-BE32-E72D297353CC}">
                <c16:uniqueId val="{00000003-EC1C-444F-9FD1-F6D726B683C6}"/>
              </c:ext>
            </c:extLst>
          </c:dPt>
          <c:dPt>
            <c:idx val="2"/>
            <c:bubble3D val="0"/>
            <c:spPr>
              <a:solidFill>
                <a:srgbClr val="E6E7EB"/>
              </a:solidFill>
              <a:ln>
                <a:noFill/>
              </a:ln>
              <a:effectLst/>
            </c:spPr>
            <c:extLst>
              <c:ext xmlns:c16="http://schemas.microsoft.com/office/drawing/2014/chart" uri="{C3380CC4-5D6E-409C-BE32-E72D297353CC}">
                <c16:uniqueId val="{00000005-EC1C-444F-9FD1-F6D726B683C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'Lead by Property Type'!$C$5:$C$8</c:f>
              <c:strCache>
                <c:ptCount val="3"/>
                <c:pt idx="0">
                  <c:v>Commercial</c:v>
                </c:pt>
                <c:pt idx="1">
                  <c:v>Industrial</c:v>
                </c:pt>
                <c:pt idx="2">
                  <c:v>Residential</c:v>
                </c:pt>
              </c:strCache>
            </c:strRef>
          </c:cat>
          <c:val>
            <c:numRef>
              <c:f>'Lead by Property Type'!$D$5:$D$8</c:f>
              <c:numCache>
                <c:formatCode>General</c:formatCode>
                <c:ptCount val="3"/>
                <c:pt idx="0">
                  <c:v>104</c:v>
                </c:pt>
                <c:pt idx="1">
                  <c:v>22</c:v>
                </c:pt>
                <c:pt idx="2">
                  <c:v>99</c:v>
                </c:pt>
              </c:numCache>
            </c:numRef>
          </c:val>
          <c:extLst>
            <c:ext xmlns:c16="http://schemas.microsoft.com/office/drawing/2014/chart" uri="{C3380CC4-5D6E-409C-BE32-E72D297353CC}">
              <c16:uniqueId val="{00000006-EC1C-444F-9FD1-F6D726B683C6}"/>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[Emerald PP Ub.xlsx]Lead by Inspection Status!PivotTable21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Leads by Inspection</a:t>
            </a:r>
            <a:r>
              <a:rPr lang="en-US" sz="1200" baseline="0"/>
              <a:t> Status</a:t>
            </a:r>
            <a:endParaRPr lang="en-US" sz="1200"/>
          </a:p>
        </c:rich>
      </c:tx>
      <c:layout>
        <c:manualLayout>
          <c:xMode val="edge"/>
          <c:yMode val="edge"/>
          <c:x val="1.6229002624671907E-2"/>
          <c:y val="2.21274424030329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6E7EB"/>
          </a:solidFill>
          <a:ln w="19050">
            <a:noFill/>
          </a:ln>
          <a:effectLst/>
        </c:spPr>
        <c:dLbl>
          <c:idx val="0"/>
          <c:layout>
            <c:manualLayout>
              <c:x val="0.10430839002267574"/>
              <c:y val="-3.40425531914893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2E1165"/>
          </a:solidFill>
          <a:ln w="19050">
            <a:noFill/>
          </a:ln>
          <a:effectLst/>
        </c:spPr>
        <c:dLbl>
          <c:idx val="0"/>
          <c:layout>
            <c:manualLayout>
              <c:x val="-0.12244897959183673"/>
              <c:y val="2.26950354609929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175524934383202"/>
          <c:y val="0.20361082582068546"/>
          <c:w val="0.47579286964129486"/>
          <c:h val="0.62059939518429763"/>
        </c:manualLayout>
      </c:layout>
      <c:doughnutChart>
        <c:varyColors val="1"/>
        <c:ser>
          <c:idx val="0"/>
          <c:order val="0"/>
          <c:tx>
            <c:strRef>
              <c:f>'Lead by Inspection Status'!$D$4</c:f>
              <c:strCache>
                <c:ptCount val="1"/>
                <c:pt idx="0">
                  <c:v>Total</c:v>
                </c:pt>
              </c:strCache>
            </c:strRef>
          </c:tx>
          <c:spPr>
            <a:ln>
              <a:noFill/>
            </a:ln>
          </c:spPr>
          <c:dPt>
            <c:idx val="0"/>
            <c:bubble3D val="0"/>
            <c:spPr>
              <a:solidFill>
                <a:srgbClr val="E6E7EB"/>
              </a:solidFill>
              <a:ln w="19050">
                <a:noFill/>
              </a:ln>
              <a:effectLst/>
            </c:spPr>
            <c:extLst>
              <c:ext xmlns:c16="http://schemas.microsoft.com/office/drawing/2014/chart" uri="{C3380CC4-5D6E-409C-BE32-E72D297353CC}">
                <c16:uniqueId val="{00000001-8506-49B2-9CF7-3B11A4DDC47C}"/>
              </c:ext>
            </c:extLst>
          </c:dPt>
          <c:dPt>
            <c:idx val="1"/>
            <c:bubble3D val="0"/>
            <c:spPr>
              <a:solidFill>
                <a:srgbClr val="2E1165"/>
              </a:solidFill>
              <a:ln w="19050">
                <a:noFill/>
              </a:ln>
              <a:effectLst/>
            </c:spPr>
            <c:extLst>
              <c:ext xmlns:c16="http://schemas.microsoft.com/office/drawing/2014/chart" uri="{C3380CC4-5D6E-409C-BE32-E72D297353CC}">
                <c16:uniqueId val="{00000003-8506-49B2-9CF7-3B11A4DDC47C}"/>
              </c:ext>
            </c:extLst>
          </c:dPt>
          <c:dLbls>
            <c:dLbl>
              <c:idx val="0"/>
              <c:layout>
                <c:manualLayout>
                  <c:x val="0.10430839002267574"/>
                  <c:y val="-3.40425531914893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506-49B2-9CF7-3B11A4DDC47C}"/>
                </c:ext>
              </c:extLst>
            </c:dLbl>
            <c:dLbl>
              <c:idx val="1"/>
              <c:layout>
                <c:manualLayout>
                  <c:x val="-0.12244897959183673"/>
                  <c:y val="2.26950354609929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506-49B2-9CF7-3B11A4DDC47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'Lead by Inspection Status'!$C$5:$C$7</c:f>
              <c:strCache>
                <c:ptCount val="2"/>
                <c:pt idx="0">
                  <c:v>No</c:v>
                </c:pt>
                <c:pt idx="1">
                  <c:v>Yes</c:v>
                </c:pt>
              </c:strCache>
            </c:strRef>
          </c:cat>
          <c:val>
            <c:numRef>
              <c:f>'Lead by Inspection Status'!$D$5:$D$7</c:f>
              <c:numCache>
                <c:formatCode>General</c:formatCode>
                <c:ptCount val="2"/>
                <c:pt idx="0">
                  <c:v>54</c:v>
                </c:pt>
                <c:pt idx="1">
                  <c:v>171</c:v>
                </c:pt>
              </c:numCache>
            </c:numRef>
          </c:val>
          <c:extLst>
            <c:ext xmlns:c16="http://schemas.microsoft.com/office/drawing/2014/chart" uri="{C3380CC4-5D6E-409C-BE32-E72D297353CC}">
              <c16:uniqueId val="{00000004-8506-49B2-9CF7-3B11A4DDC47C}"/>
            </c:ext>
          </c:extLst>
        </c:ser>
        <c:dLbls>
          <c:showLegendKey val="0"/>
          <c:showVal val="1"/>
          <c:showCatName val="0"/>
          <c:showSerName val="0"/>
          <c:showPercent val="0"/>
          <c:showBubbleSize val="0"/>
          <c:showLeaderLines val="1"/>
        </c:dLbls>
        <c:firstSliceAng val="0"/>
        <c:holeSize val="71"/>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[Emerald PP Ub.xlsx]Lead by Inspection Status!PivotTable21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'Lead by Inspection Status'!$D$4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E78-4D27-BC21-BFF3FDBC452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E78-4D27-BC21-BFF3FDBC452C}"/>
              </c:ext>
            </c:extLst>
          </c:dPt>
          <c:cat>
            <c:strRef>
              <c:f>'Lead by Inspection Status'!$C$5:$C$7</c:f>
              <c:strCache>
                <c:ptCount val="2"/>
                <c:pt idx="0">
                  <c:v>No</c:v>
                </c:pt>
                <c:pt idx="1">
                  <c:v>Yes</c:v>
                </c:pt>
              </c:strCache>
            </c:strRef>
          </c:cat>
          <c:val>
            <c:numRef>
              <c:f>'Lead by Inspection Status'!$D$5:$D$7</c:f>
              <c:numCache>
                <c:formatCode>General</c:formatCode>
                <c:ptCount val="2"/>
                <c:pt idx="0">
                  <c:v>54</c:v>
                </c:pt>
                <c:pt idx="1">
                  <c:v>171</c:v>
                </c:pt>
              </c:numCache>
            </c:numRef>
          </c:val>
          <c:extLst>
            <c:ext xmlns:c16="http://schemas.microsoft.com/office/drawing/2014/chart" uri="{C3380CC4-5D6E-409C-BE32-E72D297353CC}">
              <c16:uniqueId val="{00000000-4EA9-43F3-B470-F65F41AC3E5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Lagos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Lagos state</a:t>
          </a:r>
        </a:p>
      </cx:txPr>
    </cx:title>
    <cx:plotArea>
      <cx:plotAreaRegion>
        <cx:series layoutId="regionMap" uniqueId="{71FBDA34-F8C2-40EA-899A-EB4F33BE3E14}">
          <cx:dataId val="0"/>
          <cx:layoutPr>
            <cx:geography cultureLanguage="en-US" cultureRegion="US" attribution="Powered by Bing">
              <cx:geoCache provider="{E9337A44-BEBE-4D9F-B70C-5C5E7DAFC167}">
                <cx:binary>7FZdc6M2FP0rDM/FFggEysR5AHvTtI6zTdJO+8QwmIBskASS+PCvX/kjXtu7cXdmp2/1iy3OvZer
e3SOfJv2N2mZJY3RVyUVN2k/MQsp+c14LNIiqxIxqkjaMMHe5Chl1Zi9vZE0Gy+bpCM0HzvAdsdp
kTQy6827W10tz9icpYkkjP6hsmZ4zoQqpbiCfRcyUqao3KbnutLEXJA8a0hiGsmyInRKhGxIKu2J
OU9yJowXmcjMNDIqiRxeB55NzLNA0xhfvuabloxSdy3VUueikecgDKDt4sPHNEpG8wMMR57vuwC4
73Dw/upFUun0H+xp11GyXDaZEHpfu++L5LNNXGAfTYgIFu2HF7HtZhb3u92Pz8m5u714oOdx8eSE
v8vh/Rv0fZrep/Q/Qf8BQR+Tdzzp00Qms51ETvi7jr4Tf5F6TWl7ET4sJ6aNbOQ4LoQn8tsWOmR/
KJaL3CwRcmK6I+iBAGOEkf4BsO+bRpdtEWfkA4R8rUcv0LpFtm0alDWy2ApZh3tawwhAx7fdwDUN
wdQeghpzcKBh3aON3KOBfWblkDN6nMxhbVBVfWaESqELe6bB92Hbbn0H+9oNgB24yAmg57hA42ny
rE1SR9u/SIt3PQxIVHuA5xEKVuqRbphFQglztZ5xrwse4rybQ17nboTKAD91Iq+HmWsD/OvANmCx
xmw992SsPrUrSeKQxjhXD4ThogxrhEA13fQlVCFrSz6EuME0DgOvcKrnDjT16hnGFun+BLQv7HC1
6pyobWP3sVyBvgh76KN+VtGNkBGKK/obX2Pxj+ybnoc4b/qFZaPuBavApSElylMzB3hgCMu6XtfR
0LVqWpa9JSMlKlb85W4KBqNu7aNhSgFET2686T8hCdiyzaHlR4XiQztdM7BSD5Sg8g039e+KrwY4
H1QshldhdZg+1bnF7NkgCN9MAWNdEFVNXaFFITiCi00b9CoCFrLW97z1YPN3yfGquvfyHHWLU9c7
YzRlfGhIXhxupePy7oln9EU2WSYfE75zw6/Y+fKrWW7P89E5L1Syv/uuo8dDts3dna5Xdl2jHwWd
SvXbmJ9T7K7ezjSu1fmpC1Rf0AcLuzaJHwo6sLP7Y3P3BQAA//8=</cx:binary>
              </cx:geoCache>
            </cx:geography>
          </cx:layoutPr>
        </cx:series>
      </cx:plotAreaRegion>
    </cx:plotArea>
    <cx:legend pos="r"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Rivers State</cx:v>
        </cx:txData>
      </cx:tx>
      <cx:txPr>
        <a:bodyPr spcFirstLastPara="1" vertOverflow="ellipsis" horzOverflow="overflow" wrap="square" lIns="0" tIns="0" rIns="0" bIns="0" anchor="ctr" anchorCtr="1"/>
        <a:lstStyle/>
        <a:p>
          <a:pPr algn="ctr" rtl="0">
            <a:defRPr/>
          </a:pPr>
          <a:r>
            <a:rPr lang="en-US" sz="1200" b="0" i="0" u="none" strike="noStrike" baseline="0">
              <a:solidFill>
                <a:sysClr val="windowText" lastClr="000000">
                  <a:lumMod val="65000"/>
                  <a:lumOff val="35000"/>
                </a:sysClr>
              </a:solidFill>
              <a:latin typeface="Calibri" panose="020F0502020204030204"/>
            </a:rPr>
            <a:t>Rivers State</a:t>
          </a:r>
        </a:p>
      </cx:txPr>
    </cx:title>
    <cx:plotArea>
      <cx:plotAreaRegion>
        <cx:series layoutId="regionMap" uniqueId="{ED01983A-1503-44F8-A5E3-67CEAF178C8A}">
          <cx:dataId val="0"/>
          <cx:layoutPr>
            <cx:geography cultureLanguage="en-US" cultureRegion="US" attribution="Powered by Bing">
              <cx:geoCache provider="{E9337A44-BEBE-4D9F-B70C-5C5E7DAFC167}">
                <cx:binary>7FZbc5s4GP0rHp7XtpBAgkydB2EnTSdJs0kz7e4LwxIC4iIJECDx6xc7iRs7bbozfV2/YOno03fT
OdKHWJ/EZRI1M12VvD2J9crKlJIny2UbZ0kVtYuKxY1oxaNaxKJaisdHFifLhyYaGE+XENjOMs6i
RiXaOv0w7ZYm4lLEkWKC/9kljblN2q5U7TvYD6FZ9FAxvmatalis7JV1y/qkaa1ZwhVT5ouRyco6
WGPNlsc7vfE6K6fAVPcw2ToLz7ExgB54/jnWrBQ8fYbxwsPAAR55weGL6+uomsyfwpndqUglL8iP
gtqFFD08NEnbTjntvsfWB2kcg7HouNqWMZ0qurKuWZo0LLJmrBXBExSIbT7X57sCLA9bcPrhaGIq
ydHMqy4d1+9X0OxnwR1ktG/er6v1fwunM3zUnzcTv2jhkfmrHu7psI5UtNnx6D+jL0fjyPQ9Oj4x
9eJhZdnYxhA6kLzi6HajZ+ufM+rIOIlatbLIwvUJhgDYAJHtX2zNhmSL4AXyPeT53uRuYjfxJ4dc
NCpbWe6CoInsvo8wwC4myLNmrei2kLNAtosQmODp4yPX3SvZjShNKvi+cM/jGe+qG8G4aqfcoG3N
5NO6bbg7N5Bgl7gOgbbnb8OTcXQ7yeV2+R8aceP7bhn0ioM7Dkp1X3HmXaE8Z/clKYCkPQQaXEiS
ckb5HJXiMu3n4GtahZkIOma8NVJl017kqfaKoJGY40BD3Hwp2Cg+QU1MG8hiSIfPvnCzlHbGTxUd
eibjeZ9CfAZ7z7PXoHP133bD9J1yXCekytggWxepqG7SmutNb3eOswZeJlzKTSFB4LkSQKqZHq50
DQ37pOfzEQQGpWNLtTs4QQnRAIKuJ0QGxmFKUli4mU9lXRZmk/k5+xbmGEXzrqkAHSvQewExhMCz
DMKqDtyMAC9wUokdmqe5lJTxsLvPdTOUgRrmUFJsI5BeuHmpghpoMae8TTtwhgkw9abpq/6yTIuB
U6wzwgIh/DCChe1UZz4cUEizIW8aGoZoftvhrvunlrzIqe2ENrz207qVH3Nc8I5OB0vdsCGUWRCS
3DCK3Cy8Usrh/HzoSq6otlVxOTS+ERRCfyyDwRSEBFkxAkGHAmXVOkOmnDrtwswJwNyrPsrSxipo
lBaXBoExllyZZiPCqsY0dOSIvxk2+IaivlbXKOu7+yaHLdgIPIqU2t1QuLeihNU5h7ofN6jWoU+L
vpIJKyTJqW4HB9JwXoPiHOA6vyIMQDfIKqc7r8OyD8IGyMdMhf1Xp3DQX243MnOWyRCNFKZomFM2
+vort32vWxug85K+vlcOCBELaRqWZs+3+354+lkm/E41SaKuIrnTs+/Y4fC7lm31YC91Ryrz9IZ4
H91zdGu7I+cX8b7G/WzRa6l7u+b3FG+3305039vnt14p32+Q9ypxUMy3We5fbdvbZPdAPP0XAAD/
/w==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8.xml"/><Relationship Id="rId7" Type="http://schemas.openxmlformats.org/officeDocument/2006/relationships/image" Target="../media/image1.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228600</xdr:colOff>
      <xdr:row>8</xdr:row>
      <xdr:rowOff>185737</xdr:rowOff>
    </xdr:from>
    <xdr:to>
      <xdr:col>10</xdr:col>
      <xdr:colOff>419100</xdr:colOff>
      <xdr:row>23</xdr:row>
      <xdr:rowOff>71437</xdr:rowOff>
    </xdr:to>
    <xdr:graphicFrame macro="">
      <xdr:nvGraphicFramePr>
        <xdr:cNvPr id="2" name="Chart 1">
          <a:extLst>
            <a:ext uri="{FF2B5EF4-FFF2-40B4-BE49-F238E27FC236}">
              <a16:creationId xmlns:a16="http://schemas.microsoft.com/office/drawing/2014/main" id="{04767525-DE37-4F4D-BA48-494DC6CA7D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647700</xdr:colOff>
      <xdr:row>8</xdr:row>
      <xdr:rowOff>185737</xdr:rowOff>
    </xdr:from>
    <xdr:to>
      <xdr:col>9</xdr:col>
      <xdr:colOff>447675</xdr:colOff>
      <xdr:row>23</xdr:row>
      <xdr:rowOff>71437</xdr:rowOff>
    </xdr:to>
    <xdr:graphicFrame macro="">
      <xdr:nvGraphicFramePr>
        <xdr:cNvPr id="2" name="Chart 1">
          <a:extLst>
            <a:ext uri="{FF2B5EF4-FFF2-40B4-BE49-F238E27FC236}">
              <a16:creationId xmlns:a16="http://schemas.microsoft.com/office/drawing/2014/main" id="{6E776B6F-3200-4643-A8F9-5140CF5E7D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38100</xdr:colOff>
      <xdr:row>8</xdr:row>
      <xdr:rowOff>185737</xdr:rowOff>
    </xdr:from>
    <xdr:to>
      <xdr:col>10</xdr:col>
      <xdr:colOff>485775</xdr:colOff>
      <xdr:row>23</xdr:row>
      <xdr:rowOff>71437</xdr:rowOff>
    </xdr:to>
    <xdr:graphicFrame macro="">
      <xdr:nvGraphicFramePr>
        <xdr:cNvPr id="2" name="Chart 1">
          <a:extLst>
            <a:ext uri="{FF2B5EF4-FFF2-40B4-BE49-F238E27FC236}">
              <a16:creationId xmlns:a16="http://schemas.microsoft.com/office/drawing/2014/main" id="{A1F1CACC-3B5C-4277-8A74-68E5445A84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914400</xdr:colOff>
      <xdr:row>8</xdr:row>
      <xdr:rowOff>185737</xdr:rowOff>
    </xdr:from>
    <xdr:to>
      <xdr:col>9</xdr:col>
      <xdr:colOff>381000</xdr:colOff>
      <xdr:row>23</xdr:row>
      <xdr:rowOff>71437</xdr:rowOff>
    </xdr:to>
    <xdr:graphicFrame macro="">
      <xdr:nvGraphicFramePr>
        <xdr:cNvPr id="2" name="Chart 1">
          <a:extLst>
            <a:ext uri="{FF2B5EF4-FFF2-40B4-BE49-F238E27FC236}">
              <a16:creationId xmlns:a16="http://schemas.microsoft.com/office/drawing/2014/main" id="{DABCC380-0534-421B-ABFE-F3C5447DA2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10</xdr:col>
      <xdr:colOff>504825</xdr:colOff>
      <xdr:row>11</xdr:row>
      <xdr:rowOff>38100</xdr:rowOff>
    </xdr:from>
    <xdr:to>
      <xdr:col>16</xdr:col>
      <xdr:colOff>38101</xdr:colOff>
      <xdr:row>23</xdr:row>
      <xdr:rowOff>138112</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FDB45667-2735-4AEA-A1DA-A47CFCDFF59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296150" y="2133600"/>
              <a:ext cx="3190876" cy="238601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790574</xdr:colOff>
      <xdr:row>14</xdr:row>
      <xdr:rowOff>142875</xdr:rowOff>
    </xdr:from>
    <xdr:to>
      <xdr:col>9</xdr:col>
      <xdr:colOff>390524</xdr:colOff>
      <xdr:row>27</xdr:row>
      <xdr:rowOff>147637</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703A4724-08B0-4F38-B6AF-DDF20F76F8C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886074" y="2809875"/>
              <a:ext cx="3686175" cy="248126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38100</xdr:colOff>
      <xdr:row>8</xdr:row>
      <xdr:rowOff>185737</xdr:rowOff>
    </xdr:from>
    <xdr:to>
      <xdr:col>9</xdr:col>
      <xdr:colOff>447675</xdr:colOff>
      <xdr:row>23</xdr:row>
      <xdr:rowOff>71437</xdr:rowOff>
    </xdr:to>
    <xdr:graphicFrame macro="">
      <xdr:nvGraphicFramePr>
        <xdr:cNvPr id="2" name="Chart 1">
          <a:extLst>
            <a:ext uri="{FF2B5EF4-FFF2-40B4-BE49-F238E27FC236}">
              <a16:creationId xmlns:a16="http://schemas.microsoft.com/office/drawing/2014/main" id="{695BEFD1-368C-4227-BCA5-50A5F348AA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523875</xdr:colOff>
      <xdr:row>2</xdr:row>
      <xdr:rowOff>133350</xdr:rowOff>
    </xdr:from>
    <xdr:to>
      <xdr:col>20</xdr:col>
      <xdr:colOff>114300</xdr:colOff>
      <xdr:row>32</xdr:row>
      <xdr:rowOff>9525</xdr:rowOff>
    </xdr:to>
    <xdr:sp macro="" textlink="">
      <xdr:nvSpPr>
        <xdr:cNvPr id="8" name="Rectangle: Rounded Corners 7">
          <a:extLst>
            <a:ext uri="{FF2B5EF4-FFF2-40B4-BE49-F238E27FC236}">
              <a16:creationId xmlns:a16="http://schemas.microsoft.com/office/drawing/2014/main" id="{293E1EE5-DC85-4BE7-9A0F-605DBA29A3F5}"/>
            </a:ext>
          </a:extLst>
        </xdr:cNvPr>
        <xdr:cNvSpPr/>
      </xdr:nvSpPr>
      <xdr:spPr>
        <a:xfrm>
          <a:off x="1743075" y="514350"/>
          <a:ext cx="10563225" cy="5591175"/>
        </a:xfrm>
        <a:prstGeom prst="roundRect">
          <a:avLst>
            <a:gd name="adj" fmla="val 2046"/>
          </a:avLst>
        </a:prstGeom>
        <a:solidFill>
          <a:srgbClr val="2E116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419101</xdr:colOff>
      <xdr:row>20</xdr:row>
      <xdr:rowOff>133350</xdr:rowOff>
    </xdr:from>
    <xdr:to>
      <xdr:col>10</xdr:col>
      <xdr:colOff>114301</xdr:colOff>
      <xdr:row>31</xdr:row>
      <xdr:rowOff>140970</xdr:rowOff>
    </xdr:to>
    <xdr:graphicFrame macro="">
      <xdr:nvGraphicFramePr>
        <xdr:cNvPr id="2" name="Chart 1">
          <a:extLst>
            <a:ext uri="{FF2B5EF4-FFF2-40B4-BE49-F238E27FC236}">
              <a16:creationId xmlns:a16="http://schemas.microsoft.com/office/drawing/2014/main" id="{1DF44215-E936-4BEE-B663-55ABD9C0E8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419101</xdr:colOff>
      <xdr:row>9</xdr:row>
      <xdr:rowOff>76199</xdr:rowOff>
    </xdr:from>
    <xdr:to>
      <xdr:col>10</xdr:col>
      <xdr:colOff>114301</xdr:colOff>
      <xdr:row>20</xdr:row>
      <xdr:rowOff>83819</xdr:rowOff>
    </xdr:to>
    <xdr:graphicFrame macro="">
      <xdr:nvGraphicFramePr>
        <xdr:cNvPr id="3" name="Chart 2">
          <a:extLst>
            <a:ext uri="{FF2B5EF4-FFF2-40B4-BE49-F238E27FC236}">
              <a16:creationId xmlns:a16="http://schemas.microsoft.com/office/drawing/2014/main" id="{82C74967-0B4A-42DE-A478-CD27125371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533400</xdr:colOff>
      <xdr:row>20</xdr:row>
      <xdr:rowOff>133350</xdr:rowOff>
    </xdr:from>
    <xdr:to>
      <xdr:col>20</xdr:col>
      <xdr:colOff>76200</xdr:colOff>
      <xdr:row>31</xdr:row>
      <xdr:rowOff>140970</xdr:rowOff>
    </xdr:to>
    <xdr:graphicFrame macro="">
      <xdr:nvGraphicFramePr>
        <xdr:cNvPr id="4" name="Chart 3">
          <a:extLst>
            <a:ext uri="{FF2B5EF4-FFF2-40B4-BE49-F238E27FC236}">
              <a16:creationId xmlns:a16="http://schemas.microsoft.com/office/drawing/2014/main" id="{D2C91ADB-181B-49F8-996B-093DD3CDD9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533400</xdr:colOff>
      <xdr:row>9</xdr:row>
      <xdr:rowOff>76199</xdr:rowOff>
    </xdr:from>
    <xdr:to>
      <xdr:col>20</xdr:col>
      <xdr:colOff>76200</xdr:colOff>
      <xdr:row>20</xdr:row>
      <xdr:rowOff>83819</xdr:rowOff>
    </xdr:to>
    <xdr:graphicFrame macro="">
      <xdr:nvGraphicFramePr>
        <xdr:cNvPr id="5" name="Chart 4">
          <a:extLst>
            <a:ext uri="{FF2B5EF4-FFF2-40B4-BE49-F238E27FC236}">
              <a16:creationId xmlns:a16="http://schemas.microsoft.com/office/drawing/2014/main" id="{7E327142-FB00-4F81-B169-442147A0CD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171450</xdr:colOff>
      <xdr:row>9</xdr:row>
      <xdr:rowOff>76199</xdr:rowOff>
    </xdr:from>
    <xdr:to>
      <xdr:col>14</xdr:col>
      <xdr:colOff>476250</xdr:colOff>
      <xdr:row>20</xdr:row>
      <xdr:rowOff>83819</xdr:rowOff>
    </xdr:to>
    <xdr:graphicFrame macro="">
      <xdr:nvGraphicFramePr>
        <xdr:cNvPr id="6" name="Chart 5">
          <a:extLst>
            <a:ext uri="{FF2B5EF4-FFF2-40B4-BE49-F238E27FC236}">
              <a16:creationId xmlns:a16="http://schemas.microsoft.com/office/drawing/2014/main" id="{9BB3716D-53D9-47B9-AC40-4A9CC69C02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171450</xdr:colOff>
      <xdr:row>20</xdr:row>
      <xdr:rowOff>133350</xdr:rowOff>
    </xdr:from>
    <xdr:to>
      <xdr:col>14</xdr:col>
      <xdr:colOff>476250</xdr:colOff>
      <xdr:row>31</xdr:row>
      <xdr:rowOff>140970</xdr:rowOff>
    </xdr:to>
    <xdr:graphicFrame macro="">
      <xdr:nvGraphicFramePr>
        <xdr:cNvPr id="7" name="Chart 6">
          <a:extLst>
            <a:ext uri="{FF2B5EF4-FFF2-40B4-BE49-F238E27FC236}">
              <a16:creationId xmlns:a16="http://schemas.microsoft.com/office/drawing/2014/main" id="{BBA85411-D0B5-4170-89E4-91D55E046B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409575</xdr:colOff>
      <xdr:row>2</xdr:row>
      <xdr:rowOff>171450</xdr:rowOff>
    </xdr:from>
    <xdr:to>
      <xdr:col>20</xdr:col>
      <xdr:colOff>95250</xdr:colOff>
      <xdr:row>9</xdr:row>
      <xdr:rowOff>28574</xdr:rowOff>
    </xdr:to>
    <xdr:sp macro="" textlink="">
      <xdr:nvSpPr>
        <xdr:cNvPr id="10" name="Rectangle: Rounded Corners 9">
          <a:extLst>
            <a:ext uri="{FF2B5EF4-FFF2-40B4-BE49-F238E27FC236}">
              <a16:creationId xmlns:a16="http://schemas.microsoft.com/office/drawing/2014/main" id="{D3CD1E47-4E40-407B-B378-23374E730B16}"/>
            </a:ext>
          </a:extLst>
        </xdr:cNvPr>
        <xdr:cNvSpPr/>
      </xdr:nvSpPr>
      <xdr:spPr>
        <a:xfrm>
          <a:off x="3457575" y="552450"/>
          <a:ext cx="8829675" cy="1190624"/>
        </a:xfrm>
        <a:prstGeom prst="roundRect">
          <a:avLst>
            <a:gd name="adj" fmla="val 5039"/>
          </a:avLst>
        </a:prstGeom>
        <a:solidFill>
          <a:srgbClr val="E6E7E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590550</xdr:colOff>
      <xdr:row>2</xdr:row>
      <xdr:rowOff>161925</xdr:rowOff>
    </xdr:from>
    <xdr:to>
      <xdr:col>5</xdr:col>
      <xdr:colOff>361949</xdr:colOff>
      <xdr:row>31</xdr:row>
      <xdr:rowOff>171450</xdr:rowOff>
    </xdr:to>
    <xdr:sp macro="" textlink="">
      <xdr:nvSpPr>
        <xdr:cNvPr id="9" name="Rectangle: Rounded Corners 8">
          <a:extLst>
            <a:ext uri="{FF2B5EF4-FFF2-40B4-BE49-F238E27FC236}">
              <a16:creationId xmlns:a16="http://schemas.microsoft.com/office/drawing/2014/main" id="{9642B0AE-D408-4B85-B852-870834DB395B}"/>
            </a:ext>
          </a:extLst>
        </xdr:cNvPr>
        <xdr:cNvSpPr/>
      </xdr:nvSpPr>
      <xdr:spPr>
        <a:xfrm>
          <a:off x="1809750" y="542925"/>
          <a:ext cx="1600199" cy="5534025"/>
        </a:xfrm>
        <a:prstGeom prst="roundRect">
          <a:avLst>
            <a:gd name="adj" fmla="val 3494"/>
          </a:avLst>
        </a:prstGeom>
        <a:solidFill>
          <a:srgbClr val="2E116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15</xdr:col>
      <xdr:colOff>38100</xdr:colOff>
      <xdr:row>6</xdr:row>
      <xdr:rowOff>133351</xdr:rowOff>
    </xdr:from>
    <xdr:to>
      <xdr:col>20</xdr:col>
      <xdr:colOff>66676</xdr:colOff>
      <xdr:row>9</xdr:row>
      <xdr:rowOff>0</xdr:rowOff>
    </xdr:to>
    <mc:AlternateContent xmlns:mc="http://schemas.openxmlformats.org/markup-compatibility/2006" xmlns:a14="http://schemas.microsoft.com/office/drawing/2010/main">
      <mc:Choice Requires="a14">
        <xdr:graphicFrame macro="">
          <xdr:nvGraphicFramePr>
            <xdr:cNvPr id="11" name="Property Type">
              <a:extLst>
                <a:ext uri="{FF2B5EF4-FFF2-40B4-BE49-F238E27FC236}">
                  <a16:creationId xmlns:a16="http://schemas.microsoft.com/office/drawing/2014/main" id="{F83DBFBD-7BEB-4561-A1D5-67C72A640785}"/>
                </a:ext>
              </a:extLst>
            </xdr:cNvPr>
            <xdr:cNvGraphicFramePr/>
          </xdr:nvGraphicFramePr>
          <xdr:xfrm>
            <a:off x="0" y="0"/>
            <a:ext cx="0" cy="0"/>
          </xdr:xfrm>
          <a:graphic>
            <a:graphicData uri="http://schemas.microsoft.com/office/drawing/2010/slicer">
              <sle:slicer xmlns:sle="http://schemas.microsoft.com/office/drawing/2010/slicer" name="Property Type"/>
            </a:graphicData>
          </a:graphic>
        </xdr:graphicFrame>
      </mc:Choice>
      <mc:Fallback xmlns="">
        <xdr:sp macro="" textlink="">
          <xdr:nvSpPr>
            <xdr:cNvPr id="0" name=""/>
            <xdr:cNvSpPr>
              <a:spLocks noTextEdit="1"/>
            </xdr:cNvSpPr>
          </xdr:nvSpPr>
          <xdr:spPr>
            <a:xfrm>
              <a:off x="9182100" y="1276351"/>
              <a:ext cx="3076576" cy="4381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561976</xdr:colOff>
      <xdr:row>16</xdr:row>
      <xdr:rowOff>57151</xdr:rowOff>
    </xdr:from>
    <xdr:to>
      <xdr:col>5</xdr:col>
      <xdr:colOff>352425</xdr:colOff>
      <xdr:row>19</xdr:row>
      <xdr:rowOff>171450</xdr:rowOff>
    </xdr:to>
    <mc:AlternateContent xmlns:mc="http://schemas.openxmlformats.org/markup-compatibility/2006" xmlns:a14="http://schemas.microsoft.com/office/drawing/2010/main">
      <mc:Choice Requires="a14">
        <xdr:graphicFrame macro="">
          <xdr:nvGraphicFramePr>
            <xdr:cNvPr id="12" name="State">
              <a:extLst>
                <a:ext uri="{FF2B5EF4-FFF2-40B4-BE49-F238E27FC236}">
                  <a16:creationId xmlns:a16="http://schemas.microsoft.com/office/drawing/2014/main" id="{66B55DC6-F6DF-4A84-8F6E-D2C2785CD4CE}"/>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781176" y="3105151"/>
              <a:ext cx="1619249" cy="685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571499</xdr:colOff>
      <xdr:row>20</xdr:row>
      <xdr:rowOff>152401</xdr:rowOff>
    </xdr:from>
    <xdr:to>
      <xdr:col>5</xdr:col>
      <xdr:colOff>333374</xdr:colOff>
      <xdr:row>24</xdr:row>
      <xdr:rowOff>85725</xdr:rowOff>
    </xdr:to>
    <mc:AlternateContent xmlns:mc="http://schemas.openxmlformats.org/markup-compatibility/2006" xmlns:a14="http://schemas.microsoft.com/office/drawing/2010/main">
      <mc:Choice Requires="a14">
        <xdr:graphicFrame macro="">
          <xdr:nvGraphicFramePr>
            <xdr:cNvPr id="15" name="Inspection Status">
              <a:extLst>
                <a:ext uri="{FF2B5EF4-FFF2-40B4-BE49-F238E27FC236}">
                  <a16:creationId xmlns:a16="http://schemas.microsoft.com/office/drawing/2014/main" id="{7F7647D2-E676-4E78-B499-F03B55D51CA3}"/>
                </a:ext>
              </a:extLst>
            </xdr:cNvPr>
            <xdr:cNvGraphicFramePr/>
          </xdr:nvGraphicFramePr>
          <xdr:xfrm>
            <a:off x="0" y="0"/>
            <a:ext cx="0" cy="0"/>
          </xdr:xfrm>
          <a:graphic>
            <a:graphicData uri="http://schemas.microsoft.com/office/drawing/2010/slicer">
              <sle:slicer xmlns:sle="http://schemas.microsoft.com/office/drawing/2010/slicer" name="Inspection Status"/>
            </a:graphicData>
          </a:graphic>
        </xdr:graphicFrame>
      </mc:Choice>
      <mc:Fallback xmlns="">
        <xdr:sp macro="" textlink="">
          <xdr:nvSpPr>
            <xdr:cNvPr id="0" name=""/>
            <xdr:cNvSpPr>
              <a:spLocks noTextEdit="1"/>
            </xdr:cNvSpPr>
          </xdr:nvSpPr>
          <xdr:spPr>
            <a:xfrm>
              <a:off x="1771649" y="3962401"/>
              <a:ext cx="1609726" cy="6953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581025</xdr:colOff>
      <xdr:row>15</xdr:row>
      <xdr:rowOff>38100</xdr:rowOff>
    </xdr:from>
    <xdr:to>
      <xdr:col>3</xdr:col>
      <xdr:colOff>495300</xdr:colOff>
      <xdr:row>16</xdr:row>
      <xdr:rowOff>76200</xdr:rowOff>
    </xdr:to>
    <xdr:sp macro="" textlink="">
      <xdr:nvSpPr>
        <xdr:cNvPr id="16" name="TextBox 15">
          <a:extLst>
            <a:ext uri="{FF2B5EF4-FFF2-40B4-BE49-F238E27FC236}">
              <a16:creationId xmlns:a16="http://schemas.microsoft.com/office/drawing/2014/main" id="{3FDA0FDF-7D22-4BFE-AEE7-C8C8763AD9D2}"/>
            </a:ext>
          </a:extLst>
        </xdr:cNvPr>
        <xdr:cNvSpPr txBox="1"/>
      </xdr:nvSpPr>
      <xdr:spPr>
        <a:xfrm>
          <a:off x="1800225" y="2895600"/>
          <a:ext cx="523875" cy="228600"/>
        </a:xfrm>
        <a:prstGeom prst="rect">
          <a:avLst/>
        </a:prstGeom>
        <a:solidFill>
          <a:srgbClr val="2E116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i="1">
              <a:solidFill>
                <a:schemeClr val="bg1"/>
              </a:solidFill>
            </a:rPr>
            <a:t>State</a:t>
          </a:r>
        </a:p>
      </xdr:txBody>
    </xdr:sp>
    <xdr:clientData/>
  </xdr:twoCellAnchor>
  <xdr:twoCellAnchor>
    <xdr:from>
      <xdr:col>2</xdr:col>
      <xdr:colOff>571499</xdr:colOff>
      <xdr:row>19</xdr:row>
      <xdr:rowOff>133350</xdr:rowOff>
    </xdr:from>
    <xdr:to>
      <xdr:col>5</xdr:col>
      <xdr:colOff>95250</xdr:colOff>
      <xdr:row>21</xdr:row>
      <xdr:rowOff>28575</xdr:rowOff>
    </xdr:to>
    <xdr:sp macro="" textlink="">
      <xdr:nvSpPr>
        <xdr:cNvPr id="17" name="TextBox 16">
          <a:extLst>
            <a:ext uri="{FF2B5EF4-FFF2-40B4-BE49-F238E27FC236}">
              <a16:creationId xmlns:a16="http://schemas.microsoft.com/office/drawing/2014/main" id="{C9A7FDF2-3342-44D0-B66D-D1BE42DFDC45}"/>
            </a:ext>
          </a:extLst>
        </xdr:cNvPr>
        <xdr:cNvSpPr txBox="1"/>
      </xdr:nvSpPr>
      <xdr:spPr>
        <a:xfrm>
          <a:off x="1790699" y="3752850"/>
          <a:ext cx="1352551" cy="276225"/>
        </a:xfrm>
        <a:prstGeom prst="rect">
          <a:avLst/>
        </a:prstGeom>
        <a:solidFill>
          <a:srgbClr val="2E116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i="1">
              <a:solidFill>
                <a:schemeClr val="bg1"/>
              </a:solidFill>
            </a:rPr>
            <a:t>Inspection</a:t>
          </a:r>
          <a:r>
            <a:rPr lang="en-US" sz="1200" i="1" baseline="0">
              <a:solidFill>
                <a:schemeClr val="bg1"/>
              </a:solidFill>
            </a:rPr>
            <a:t> Status</a:t>
          </a:r>
          <a:endParaRPr lang="en-US" sz="1200" i="1">
            <a:solidFill>
              <a:schemeClr val="bg1"/>
            </a:solidFill>
          </a:endParaRPr>
        </a:p>
      </xdr:txBody>
    </xdr:sp>
    <xdr:clientData/>
  </xdr:twoCellAnchor>
  <xdr:twoCellAnchor>
    <xdr:from>
      <xdr:col>3</xdr:col>
      <xdr:colOff>38100</xdr:colOff>
      <xdr:row>24</xdr:row>
      <xdr:rowOff>66675</xdr:rowOff>
    </xdr:from>
    <xdr:to>
      <xdr:col>4</xdr:col>
      <xdr:colOff>342900</xdr:colOff>
      <xdr:row>25</xdr:row>
      <xdr:rowOff>123825</xdr:rowOff>
    </xdr:to>
    <xdr:sp macro="" textlink="">
      <xdr:nvSpPr>
        <xdr:cNvPr id="18" name="TextBox 17">
          <a:extLst>
            <a:ext uri="{FF2B5EF4-FFF2-40B4-BE49-F238E27FC236}">
              <a16:creationId xmlns:a16="http://schemas.microsoft.com/office/drawing/2014/main" id="{846C9F9A-D165-4B49-8F14-29DCCC54EA09}"/>
            </a:ext>
          </a:extLst>
        </xdr:cNvPr>
        <xdr:cNvSpPr txBox="1"/>
      </xdr:nvSpPr>
      <xdr:spPr>
        <a:xfrm>
          <a:off x="1866900" y="4638675"/>
          <a:ext cx="914400" cy="247650"/>
        </a:xfrm>
        <a:prstGeom prst="rect">
          <a:avLst/>
        </a:prstGeom>
        <a:solidFill>
          <a:srgbClr val="2E116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i="1">
              <a:solidFill>
                <a:schemeClr val="bg1"/>
              </a:solidFill>
            </a:rPr>
            <a:t>Sales Status</a:t>
          </a:r>
        </a:p>
      </xdr:txBody>
    </xdr:sp>
    <xdr:clientData/>
  </xdr:twoCellAnchor>
  <xdr:twoCellAnchor editAs="oneCell">
    <xdr:from>
      <xdr:col>2</xdr:col>
      <xdr:colOff>571500</xdr:colOff>
      <xdr:row>25</xdr:row>
      <xdr:rowOff>85724</xdr:rowOff>
    </xdr:from>
    <xdr:to>
      <xdr:col>5</xdr:col>
      <xdr:colOff>333375</xdr:colOff>
      <xdr:row>31</xdr:row>
      <xdr:rowOff>152399</xdr:rowOff>
    </xdr:to>
    <mc:AlternateContent xmlns:mc="http://schemas.openxmlformats.org/markup-compatibility/2006" xmlns:a14="http://schemas.microsoft.com/office/drawing/2010/main">
      <mc:Choice Requires="a14">
        <xdr:graphicFrame macro="">
          <xdr:nvGraphicFramePr>
            <xdr:cNvPr id="19" name="Sales Status">
              <a:extLst>
                <a:ext uri="{FF2B5EF4-FFF2-40B4-BE49-F238E27FC236}">
                  <a16:creationId xmlns:a16="http://schemas.microsoft.com/office/drawing/2014/main" id="{3A54B81F-DE79-49C0-9895-1F0F9865373C}"/>
                </a:ext>
              </a:extLst>
            </xdr:cNvPr>
            <xdr:cNvGraphicFramePr/>
          </xdr:nvGraphicFramePr>
          <xdr:xfrm>
            <a:off x="0" y="0"/>
            <a:ext cx="0" cy="0"/>
          </xdr:xfrm>
          <a:graphic>
            <a:graphicData uri="http://schemas.microsoft.com/office/drawing/2010/slicer">
              <sle:slicer xmlns:sle="http://schemas.microsoft.com/office/drawing/2010/slicer" name="Sales Status"/>
            </a:graphicData>
          </a:graphic>
        </xdr:graphicFrame>
      </mc:Choice>
      <mc:Fallback xmlns="">
        <xdr:sp macro="" textlink="">
          <xdr:nvSpPr>
            <xdr:cNvPr id="0" name=""/>
            <xdr:cNvSpPr>
              <a:spLocks noTextEdit="1"/>
            </xdr:cNvSpPr>
          </xdr:nvSpPr>
          <xdr:spPr>
            <a:xfrm>
              <a:off x="1790700" y="4848224"/>
              <a:ext cx="1590675" cy="1209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438149</xdr:colOff>
      <xdr:row>3</xdr:row>
      <xdr:rowOff>0</xdr:rowOff>
    </xdr:from>
    <xdr:to>
      <xdr:col>10</xdr:col>
      <xdr:colOff>19050</xdr:colOff>
      <xdr:row>4</xdr:row>
      <xdr:rowOff>104775</xdr:rowOff>
    </xdr:to>
    <xdr:sp macro="" textlink="">
      <xdr:nvSpPr>
        <xdr:cNvPr id="13" name="TextBox 12">
          <a:extLst>
            <a:ext uri="{FF2B5EF4-FFF2-40B4-BE49-F238E27FC236}">
              <a16:creationId xmlns:a16="http://schemas.microsoft.com/office/drawing/2014/main" id="{B6768B33-DB55-44A0-9DDA-161BC6127BA4}"/>
            </a:ext>
          </a:extLst>
        </xdr:cNvPr>
        <xdr:cNvSpPr txBox="1"/>
      </xdr:nvSpPr>
      <xdr:spPr>
        <a:xfrm>
          <a:off x="3486149" y="571500"/>
          <a:ext cx="2628901" cy="295275"/>
        </a:xfrm>
        <a:prstGeom prst="rect">
          <a:avLst/>
        </a:prstGeom>
        <a:solidFill>
          <a:srgbClr val="E6E7E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20A39E"/>
              </a:solidFill>
            </a:rPr>
            <a:t>Leads Distribution Dashboard</a:t>
          </a:r>
        </a:p>
      </xdr:txBody>
    </xdr:sp>
    <xdr:clientData/>
  </xdr:twoCellAnchor>
  <xdr:twoCellAnchor>
    <xdr:from>
      <xdr:col>5</xdr:col>
      <xdr:colOff>428625</xdr:colOff>
      <xdr:row>5</xdr:row>
      <xdr:rowOff>95250</xdr:rowOff>
    </xdr:from>
    <xdr:to>
      <xdr:col>9</xdr:col>
      <xdr:colOff>447675</xdr:colOff>
      <xdr:row>6</xdr:row>
      <xdr:rowOff>161925</xdr:rowOff>
    </xdr:to>
    <xdr:sp macro="" textlink="">
      <xdr:nvSpPr>
        <xdr:cNvPr id="14" name="TextBox 13">
          <a:extLst>
            <a:ext uri="{FF2B5EF4-FFF2-40B4-BE49-F238E27FC236}">
              <a16:creationId xmlns:a16="http://schemas.microsoft.com/office/drawing/2014/main" id="{A7130035-604D-4B2F-BEE4-6660435B8427}"/>
            </a:ext>
          </a:extLst>
        </xdr:cNvPr>
        <xdr:cNvSpPr txBox="1"/>
      </xdr:nvSpPr>
      <xdr:spPr>
        <a:xfrm>
          <a:off x="3476625" y="1047750"/>
          <a:ext cx="245745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2E1167"/>
              </a:solidFill>
            </a:rPr>
            <a:t>Showing Leads Metrics for July 2023</a:t>
          </a:r>
        </a:p>
      </xdr:txBody>
    </xdr:sp>
    <xdr:clientData/>
  </xdr:twoCellAnchor>
  <xdr:twoCellAnchor>
    <xdr:from>
      <xdr:col>5</xdr:col>
      <xdr:colOff>419101</xdr:colOff>
      <xdr:row>7</xdr:row>
      <xdr:rowOff>152401</xdr:rowOff>
    </xdr:from>
    <xdr:to>
      <xdr:col>7</xdr:col>
      <xdr:colOff>161925</xdr:colOff>
      <xdr:row>8</xdr:row>
      <xdr:rowOff>180975</xdr:rowOff>
    </xdr:to>
    <xdr:sp macro="" textlink="">
      <xdr:nvSpPr>
        <xdr:cNvPr id="20" name="TextBox 19">
          <a:extLst>
            <a:ext uri="{FF2B5EF4-FFF2-40B4-BE49-F238E27FC236}">
              <a16:creationId xmlns:a16="http://schemas.microsoft.com/office/drawing/2014/main" id="{671F2753-D942-4C4F-9EB5-3B4803BF7EE6}"/>
            </a:ext>
          </a:extLst>
        </xdr:cNvPr>
        <xdr:cNvSpPr txBox="1"/>
      </xdr:nvSpPr>
      <xdr:spPr>
        <a:xfrm>
          <a:off x="3467101" y="1485901"/>
          <a:ext cx="962024" cy="219074"/>
        </a:xfrm>
        <a:prstGeom prst="rect">
          <a:avLst/>
        </a:prstGeom>
        <a:solidFill>
          <a:srgbClr val="E6E7E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Total Leads:</a:t>
          </a:r>
        </a:p>
      </xdr:txBody>
    </xdr:sp>
    <xdr:clientData/>
  </xdr:twoCellAnchor>
  <xdr:twoCellAnchor>
    <xdr:from>
      <xdr:col>7</xdr:col>
      <xdr:colOff>57151</xdr:colOff>
      <xdr:row>7</xdr:row>
      <xdr:rowOff>152400</xdr:rowOff>
    </xdr:from>
    <xdr:to>
      <xdr:col>7</xdr:col>
      <xdr:colOff>457201</xdr:colOff>
      <xdr:row>8</xdr:row>
      <xdr:rowOff>152399</xdr:rowOff>
    </xdr:to>
    <xdr:sp macro="" textlink="KPI!E4">
      <xdr:nvSpPr>
        <xdr:cNvPr id="22" name="TextBox 21">
          <a:extLst>
            <a:ext uri="{FF2B5EF4-FFF2-40B4-BE49-F238E27FC236}">
              <a16:creationId xmlns:a16="http://schemas.microsoft.com/office/drawing/2014/main" id="{EECB3E02-18AA-4EFA-A7E5-AF8D37DC0327}"/>
            </a:ext>
          </a:extLst>
        </xdr:cNvPr>
        <xdr:cNvSpPr txBox="1"/>
      </xdr:nvSpPr>
      <xdr:spPr>
        <a:xfrm>
          <a:off x="4324351" y="1485900"/>
          <a:ext cx="400050" cy="190499"/>
        </a:xfrm>
        <a:prstGeom prst="rect">
          <a:avLst/>
        </a:prstGeom>
        <a:solidFill>
          <a:srgbClr val="E6E7E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2536D6B-9F08-45D9-ADCE-69D839F7209C}" type="TxLink">
            <a:rPr lang="en-US" sz="1100" b="0" i="0" u="none" strike="noStrike">
              <a:solidFill>
                <a:srgbClr val="000000"/>
              </a:solidFill>
              <a:latin typeface="Calibri"/>
              <a:ea typeface="Calibri"/>
              <a:cs typeface="Calibri"/>
            </a:rPr>
            <a:pPr/>
            <a:t>225</a:t>
          </a:fld>
          <a:endParaRPr lang="en-US" sz="1100"/>
        </a:p>
      </xdr:txBody>
    </xdr:sp>
    <xdr:clientData/>
  </xdr:twoCellAnchor>
  <xdr:twoCellAnchor>
    <xdr:from>
      <xdr:col>18</xdr:col>
      <xdr:colOff>38100</xdr:colOff>
      <xdr:row>3</xdr:row>
      <xdr:rowOff>19050</xdr:rowOff>
    </xdr:from>
    <xdr:to>
      <xdr:col>20</xdr:col>
      <xdr:colOff>28575</xdr:colOff>
      <xdr:row>4</xdr:row>
      <xdr:rowOff>76200</xdr:rowOff>
    </xdr:to>
    <xdr:sp macro="" textlink="KPI!F10">
      <xdr:nvSpPr>
        <xdr:cNvPr id="23" name="TextBox 22">
          <a:extLst>
            <a:ext uri="{FF2B5EF4-FFF2-40B4-BE49-F238E27FC236}">
              <a16:creationId xmlns:a16="http://schemas.microsoft.com/office/drawing/2014/main" id="{D58FC7A9-C8B4-421D-894C-BA2504C9B876}"/>
            </a:ext>
          </a:extLst>
        </xdr:cNvPr>
        <xdr:cNvSpPr txBox="1"/>
      </xdr:nvSpPr>
      <xdr:spPr>
        <a:xfrm>
          <a:off x="11010900" y="590550"/>
          <a:ext cx="1209675" cy="247650"/>
        </a:xfrm>
        <a:prstGeom prst="rect">
          <a:avLst/>
        </a:prstGeom>
        <a:solidFill>
          <a:srgbClr val="E6E7E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F275178-4661-4902-A8C5-C132764C1F20}" type="TxLink">
            <a:rPr lang="en-US" sz="1100" b="0" i="0" u="none" strike="noStrike">
              <a:solidFill>
                <a:srgbClr val="000000"/>
              </a:solidFill>
              <a:latin typeface="Calibri"/>
              <a:ea typeface="Calibri"/>
              <a:cs typeface="Calibri"/>
            </a:rPr>
            <a:pPr/>
            <a:t>03 August 2026</a:t>
          </a:fld>
          <a:endParaRPr lang="en-US" sz="1100"/>
        </a:p>
      </xdr:txBody>
    </xdr:sp>
    <xdr:clientData/>
  </xdr:twoCellAnchor>
  <xdr:twoCellAnchor>
    <xdr:from>
      <xdr:col>2</xdr:col>
      <xdr:colOff>581025</xdr:colOff>
      <xdr:row>9</xdr:row>
      <xdr:rowOff>95250</xdr:rowOff>
    </xdr:from>
    <xdr:to>
      <xdr:col>5</xdr:col>
      <xdr:colOff>361950</xdr:colOff>
      <xdr:row>11</xdr:row>
      <xdr:rowOff>9525</xdr:rowOff>
    </xdr:to>
    <xdr:sp macro="" textlink="">
      <xdr:nvSpPr>
        <xdr:cNvPr id="26" name="TextBox 25">
          <a:extLst>
            <a:ext uri="{FF2B5EF4-FFF2-40B4-BE49-F238E27FC236}">
              <a16:creationId xmlns:a16="http://schemas.microsoft.com/office/drawing/2014/main" id="{ECA01690-9D75-4191-BCEF-4D7A1C18EEB3}"/>
            </a:ext>
          </a:extLst>
        </xdr:cNvPr>
        <xdr:cNvSpPr txBox="1"/>
      </xdr:nvSpPr>
      <xdr:spPr>
        <a:xfrm>
          <a:off x="1800225" y="1809750"/>
          <a:ext cx="1609725" cy="295275"/>
        </a:xfrm>
        <a:prstGeom prst="rect">
          <a:avLst/>
        </a:prstGeom>
        <a:solidFill>
          <a:srgbClr val="2E116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i="0" u="sng">
              <a:solidFill>
                <a:schemeClr val="bg1"/>
              </a:solidFill>
            </a:rPr>
            <a:t>EMERALD PROPERTIES</a:t>
          </a:r>
        </a:p>
      </xdr:txBody>
    </xdr:sp>
    <xdr:clientData/>
  </xdr:twoCellAnchor>
  <xdr:twoCellAnchor>
    <xdr:from>
      <xdr:col>3</xdr:col>
      <xdr:colOff>371474</xdr:colOff>
      <xdr:row>12</xdr:row>
      <xdr:rowOff>104774</xdr:rowOff>
    </xdr:from>
    <xdr:to>
      <xdr:col>5</xdr:col>
      <xdr:colOff>171449</xdr:colOff>
      <xdr:row>14</xdr:row>
      <xdr:rowOff>19049</xdr:rowOff>
    </xdr:to>
    <xdr:sp macro="" textlink="">
      <xdr:nvSpPr>
        <xdr:cNvPr id="27" name="TextBox 26">
          <a:extLst>
            <a:ext uri="{FF2B5EF4-FFF2-40B4-BE49-F238E27FC236}">
              <a16:creationId xmlns:a16="http://schemas.microsoft.com/office/drawing/2014/main" id="{972698CE-600E-4CF3-A84D-DE39330F5B1B}"/>
            </a:ext>
          </a:extLst>
        </xdr:cNvPr>
        <xdr:cNvSpPr txBox="1"/>
      </xdr:nvSpPr>
      <xdr:spPr>
        <a:xfrm>
          <a:off x="2200274" y="2390774"/>
          <a:ext cx="1019175" cy="295275"/>
        </a:xfrm>
        <a:prstGeom prst="rect">
          <a:avLst/>
        </a:prstGeom>
        <a:solidFill>
          <a:srgbClr val="2E116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i="1">
              <a:solidFill>
                <a:schemeClr val="bg1"/>
              </a:solidFill>
            </a:rPr>
            <a:t>Filter Buttons</a:t>
          </a:r>
        </a:p>
      </xdr:txBody>
    </xdr:sp>
    <xdr:clientData/>
  </xdr:twoCellAnchor>
  <xdr:twoCellAnchor editAs="oneCell">
    <xdr:from>
      <xdr:col>3</xdr:col>
      <xdr:colOff>1</xdr:colOff>
      <xdr:row>2</xdr:row>
      <xdr:rowOff>133350</xdr:rowOff>
    </xdr:from>
    <xdr:to>
      <xdr:col>5</xdr:col>
      <xdr:colOff>276225</xdr:colOff>
      <xdr:row>9</xdr:row>
      <xdr:rowOff>57150</xdr:rowOff>
    </xdr:to>
    <xdr:pic>
      <xdr:nvPicPr>
        <xdr:cNvPr id="29" name="Picture 28">
          <a:extLst>
            <a:ext uri="{FF2B5EF4-FFF2-40B4-BE49-F238E27FC236}">
              <a16:creationId xmlns:a16="http://schemas.microsoft.com/office/drawing/2014/main" id="{08160808-9C8D-4880-BA62-423BEC3FC5D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828801" y="514350"/>
          <a:ext cx="1495424" cy="1257300"/>
        </a:xfrm>
        <a:prstGeom prst="rect">
          <a:avLst/>
        </a:prstGeom>
      </xdr:spPr>
    </xdr:pic>
    <xdr:clientData/>
  </xdr:twoCellAnchor>
  <xdr:twoCellAnchor>
    <xdr:from>
      <xdr:col>10</xdr:col>
      <xdr:colOff>457200</xdr:colOff>
      <xdr:row>7</xdr:row>
      <xdr:rowOff>152400</xdr:rowOff>
    </xdr:from>
    <xdr:to>
      <xdr:col>12</xdr:col>
      <xdr:colOff>419101</xdr:colOff>
      <xdr:row>8</xdr:row>
      <xdr:rowOff>171449</xdr:rowOff>
    </xdr:to>
    <xdr:sp macro="" textlink="">
      <xdr:nvSpPr>
        <xdr:cNvPr id="21" name="TextBox 20">
          <a:extLst>
            <a:ext uri="{FF2B5EF4-FFF2-40B4-BE49-F238E27FC236}">
              <a16:creationId xmlns:a16="http://schemas.microsoft.com/office/drawing/2014/main" id="{95D47FA4-7D03-4D23-82B7-55E9E0FA2F54}"/>
            </a:ext>
          </a:extLst>
        </xdr:cNvPr>
        <xdr:cNvSpPr txBox="1"/>
      </xdr:nvSpPr>
      <xdr:spPr>
        <a:xfrm>
          <a:off x="6553200" y="1485900"/>
          <a:ext cx="1181101" cy="209549"/>
        </a:xfrm>
        <a:prstGeom prst="rect">
          <a:avLst/>
        </a:prstGeom>
        <a:solidFill>
          <a:srgbClr val="E6E7E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Potential Clients:</a:t>
          </a:r>
        </a:p>
      </xdr:txBody>
    </xdr:sp>
    <xdr:clientData/>
  </xdr:twoCellAnchor>
  <xdr:twoCellAnchor>
    <xdr:from>
      <xdr:col>12</xdr:col>
      <xdr:colOff>371476</xdr:colOff>
      <xdr:row>7</xdr:row>
      <xdr:rowOff>142875</xdr:rowOff>
    </xdr:from>
    <xdr:to>
      <xdr:col>13</xdr:col>
      <xdr:colOff>371475</xdr:colOff>
      <xdr:row>8</xdr:row>
      <xdr:rowOff>161925</xdr:rowOff>
    </xdr:to>
    <xdr:sp macro="" textlink="KPI!E7">
      <xdr:nvSpPr>
        <xdr:cNvPr id="28" name="TextBox 27">
          <a:extLst>
            <a:ext uri="{FF2B5EF4-FFF2-40B4-BE49-F238E27FC236}">
              <a16:creationId xmlns:a16="http://schemas.microsoft.com/office/drawing/2014/main" id="{D7BED3A0-0CE8-4006-A5B7-26A1FCA9159D}"/>
            </a:ext>
          </a:extLst>
        </xdr:cNvPr>
        <xdr:cNvSpPr txBox="1"/>
      </xdr:nvSpPr>
      <xdr:spPr>
        <a:xfrm>
          <a:off x="7686676" y="1476375"/>
          <a:ext cx="609599" cy="209550"/>
        </a:xfrm>
        <a:prstGeom prst="rect">
          <a:avLst/>
        </a:prstGeom>
        <a:solidFill>
          <a:srgbClr val="E6E7E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588FCF1-ABB6-4556-AEEC-9BFC0BC4D0EB}" type="TxLink">
            <a:rPr lang="en-US" sz="1100" b="0" i="0" u="none" strike="noStrike">
              <a:solidFill>
                <a:srgbClr val="000000"/>
              </a:solidFill>
              <a:latin typeface="Calibri"/>
              <a:ea typeface="Calibri"/>
              <a:cs typeface="Calibri"/>
            </a:rPr>
            <a:pPr/>
            <a:t>55.56%</a:t>
          </a:fld>
          <a:endParaRPr lang="en-US" sz="1100"/>
        </a:p>
      </xdr:txBody>
    </xdr:sp>
    <xdr:clientData/>
  </xdr:twoCellAnchor>
  <xdr:twoCellAnchor>
    <xdr:from>
      <xdr:col>9</xdr:col>
      <xdr:colOff>495301</xdr:colOff>
      <xdr:row>7</xdr:row>
      <xdr:rowOff>161925</xdr:rowOff>
    </xdr:from>
    <xdr:to>
      <xdr:col>10</xdr:col>
      <xdr:colOff>504825</xdr:colOff>
      <xdr:row>8</xdr:row>
      <xdr:rowOff>180975</xdr:rowOff>
    </xdr:to>
    <xdr:sp macro="" textlink="KPI!E6">
      <xdr:nvSpPr>
        <xdr:cNvPr id="30" name="TextBox 29">
          <a:extLst>
            <a:ext uri="{FF2B5EF4-FFF2-40B4-BE49-F238E27FC236}">
              <a16:creationId xmlns:a16="http://schemas.microsoft.com/office/drawing/2014/main" id="{8685A310-AB45-4235-B479-6C447E231388}"/>
            </a:ext>
          </a:extLst>
        </xdr:cNvPr>
        <xdr:cNvSpPr txBox="1"/>
      </xdr:nvSpPr>
      <xdr:spPr>
        <a:xfrm>
          <a:off x="5981701" y="1495425"/>
          <a:ext cx="619124" cy="209550"/>
        </a:xfrm>
        <a:prstGeom prst="rect">
          <a:avLst/>
        </a:prstGeom>
        <a:solidFill>
          <a:srgbClr val="E6E7E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E81D5AB-729B-4B68-AF33-C12CAABAB032}" type="TxLink">
            <a:rPr lang="en-US" sz="1100" b="0" i="0" u="none" strike="noStrike">
              <a:solidFill>
                <a:srgbClr val="000000"/>
              </a:solidFill>
              <a:latin typeface="Calibri"/>
              <a:ea typeface="Calibri"/>
              <a:cs typeface="Calibri"/>
            </a:rPr>
            <a:pPr/>
            <a:t>44.44%</a:t>
          </a:fld>
          <a:endParaRPr lang="en-US" sz="1100"/>
        </a:p>
      </xdr:txBody>
    </xdr:sp>
    <xdr:clientData/>
  </xdr:twoCellAnchor>
  <xdr:twoCellAnchor>
    <xdr:from>
      <xdr:col>7</xdr:col>
      <xdr:colOff>600075</xdr:colOff>
      <xdr:row>7</xdr:row>
      <xdr:rowOff>161925</xdr:rowOff>
    </xdr:from>
    <xdr:to>
      <xdr:col>9</xdr:col>
      <xdr:colOff>552451</xdr:colOff>
      <xdr:row>8</xdr:row>
      <xdr:rowOff>152401</xdr:rowOff>
    </xdr:to>
    <xdr:sp macro="" textlink="">
      <xdr:nvSpPr>
        <xdr:cNvPr id="32" name="TextBox 31">
          <a:extLst>
            <a:ext uri="{FF2B5EF4-FFF2-40B4-BE49-F238E27FC236}">
              <a16:creationId xmlns:a16="http://schemas.microsoft.com/office/drawing/2014/main" id="{286B583F-45FC-432C-9971-2838C054BC44}"/>
            </a:ext>
          </a:extLst>
        </xdr:cNvPr>
        <xdr:cNvSpPr txBox="1"/>
      </xdr:nvSpPr>
      <xdr:spPr>
        <a:xfrm>
          <a:off x="4867275" y="1495425"/>
          <a:ext cx="1171576" cy="180976"/>
        </a:xfrm>
        <a:prstGeom prst="rect">
          <a:avLst/>
        </a:prstGeom>
        <a:solidFill>
          <a:srgbClr val="E6E7E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Conversion Rate:</a:t>
          </a:r>
        </a:p>
      </xdr:txBody>
    </xdr:sp>
    <xdr:clientData/>
  </xdr:twoCellAnchor>
  <xdr:twoCellAnchor editAs="oneCell">
    <xdr:from>
      <xdr:col>3</xdr:col>
      <xdr:colOff>18370</xdr:colOff>
      <xdr:row>12</xdr:row>
      <xdr:rowOff>95250</xdr:rowOff>
    </xdr:from>
    <xdr:to>
      <xdr:col>3</xdr:col>
      <xdr:colOff>428625</xdr:colOff>
      <xdr:row>14</xdr:row>
      <xdr:rowOff>124506</xdr:rowOff>
    </xdr:to>
    <xdr:pic>
      <xdr:nvPicPr>
        <xdr:cNvPr id="25" name="Picture 24">
          <a:extLst>
            <a:ext uri="{FF2B5EF4-FFF2-40B4-BE49-F238E27FC236}">
              <a16:creationId xmlns:a16="http://schemas.microsoft.com/office/drawing/2014/main" id="{07E9C848-2984-4E40-947C-162C0E1D973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flipH="1">
          <a:off x="1847170" y="2381250"/>
          <a:ext cx="410255" cy="41025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3</xdr:col>
      <xdr:colOff>38100</xdr:colOff>
      <xdr:row>8</xdr:row>
      <xdr:rowOff>185737</xdr:rowOff>
    </xdr:from>
    <xdr:to>
      <xdr:col>9</xdr:col>
      <xdr:colOff>447675</xdr:colOff>
      <xdr:row>23</xdr:row>
      <xdr:rowOff>71437</xdr:rowOff>
    </xdr:to>
    <xdr:graphicFrame macro="">
      <xdr:nvGraphicFramePr>
        <xdr:cNvPr id="2" name="Chart 1">
          <a:extLst>
            <a:ext uri="{FF2B5EF4-FFF2-40B4-BE49-F238E27FC236}">
              <a16:creationId xmlns:a16="http://schemas.microsoft.com/office/drawing/2014/main" id="{67BCB100-8C5E-4A56-A750-A2602B7B0A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bokobong Archibong" refreshedDate="46231.741062962959" backgroundQuery="1" createdVersion="7" refreshedVersion="7" minRefreshableVersion="3" recordCount="0" supportSubquery="1" supportAdvancedDrill="1" xr:uid="{C42AC552-A73A-49A9-8B2A-4B1A6D71B89B}">
  <cacheSource type="external" connectionId="2"/>
  <cacheFields count="2">
    <cacheField name="[EMERALD_PROPERTIES].[State].[State]" caption="State" numFmtId="0" hierarchy="5" level="1">
      <sharedItems count="2">
        <s v="Lagos"/>
        <s v="Rivers"/>
      </sharedItems>
    </cacheField>
    <cacheField name="[Measures].[Conversion Rate]" caption="Conversion Rate" numFmtId="0" hierarchy="11" level="32767"/>
  </cacheFields>
  <cacheHierarchies count="15">
    <cacheHierarchy uniqueName="[EMERALD_PROPERTIES].[Client ID]" caption="Client ID" attribute="1" defaultMemberUniqueName="[EMERALD_PROPERTIES].[Client ID].[All]" allUniqueName="[EMERALD_PROPERTIES].[Client ID].[All]" dimensionUniqueName="[EMERALD_PROPERTIES]" displayFolder="" count="0" memberValueDatatype="130" unbalanced="0"/>
    <cacheHierarchy uniqueName="[EMERALD_PROPERTIES].[Gender]" caption="Gender" attribute="1" defaultMemberUniqueName="[EMERALD_PROPERTIES].[Gender].[All]" allUniqueName="[EMERALD_PROPERTIES].[Gender].[All]" dimensionUniqueName="[EMERALD_PROPERTIES]" displayFolder="" count="0" memberValueDatatype="130" unbalanced="0"/>
    <cacheHierarchy uniqueName="[EMERALD_PROPERTIES].[Sales Rep.]" caption="Sales Rep." attribute="1" defaultMemberUniqueName="[EMERALD_PROPERTIES].[Sales Rep.].[All]" allUniqueName="[EMERALD_PROPERTIES].[Sales Rep.].[All]" dimensionUniqueName="[EMERALD_PROPERTIES]" displayFolder="" count="0" memberValueDatatype="130" unbalanced="0"/>
    <cacheHierarchy uniqueName="[EMERALD_PROPERTIES].[Date]" caption="Date" attribute="1" time="1" defaultMemberUniqueName="[EMERALD_PROPERTIES].[Date].[All]" allUniqueName="[EMERALD_PROPERTIES].[Date].[All]" dimensionUniqueName="[EMERALD_PROPERTIES]" displayFolder="" count="0" memberValueDatatype="7" unbalanced="0"/>
    <cacheHierarchy uniqueName="[EMERALD_PROPERTIES].[Sales Status]" caption="Sales Status" attribute="1" defaultMemberUniqueName="[EMERALD_PROPERTIES].[Sales Status].[All]" allUniqueName="[EMERALD_PROPERTIES].[Sales Status].[All]" dimensionUniqueName="[EMERALD_PROPERTIES]" displayFolder="" count="0" memberValueDatatype="130" unbalanced="0"/>
    <cacheHierarchy uniqueName="[EMERALD_PROPERTIES].[State]" caption="State" attribute="1" defaultMemberUniqueName="[EMERALD_PROPERTIES].[State].[All]" allUniqueName="[EMERALD_PROPERTIES].[State].[All]" dimensionUniqueName="[EMERALD_PROPERTIES]" displayFolder="" count="2" memberValueDatatype="130" unbalanced="0">
      <fieldsUsage count="2">
        <fieldUsage x="-1"/>
        <fieldUsage x="0"/>
      </fieldsUsage>
    </cacheHierarchy>
    <cacheHierarchy uniqueName="[EMERALD_PROPERTIES].[Property Type]" caption="Property Type" attribute="1" defaultMemberUniqueName="[EMERALD_PROPERTIES].[Property Type].[All]" allUniqueName="[EMERALD_PROPERTIES].[Property Type].[All]" dimensionUniqueName="[EMERALD_PROPERTIES]" displayFolder="" count="0" memberValueDatatype="130" unbalanced="0"/>
    <cacheHierarchy uniqueName="[EMERALD_PROPERTIES].[Inspection Status]" caption="Inspection Status" attribute="1" defaultMemberUniqueName="[EMERALD_PROPERTIES].[Inspection Status].[All]" allUniqueName="[EMERALD_PROPERTIES].[Inspection Status].[All]" dimensionUniqueName="[EMERALD_PROPERTIES]" displayFolder="" count="0" memberValueDatatype="130" unbalanced="0"/>
    <cacheHierarchy uniqueName="[Measures].[Count of Client ID]" caption="Count of Client ID" measure="1" displayFolder="" measureGroup="EMERALD_PROPERTIES" count="0">
      <extLst>
        <ext xmlns:x15="http://schemas.microsoft.com/office/spreadsheetml/2010/11/main" uri="{B97F6D7D-B522-45F9-BDA1-12C45D357490}">
          <x15:cacheHierarchy aggregatedColumn="0"/>
        </ext>
      </extLst>
    </cacheHierarchy>
    <cacheHierarchy uniqueName="[Measures].[Total Leads]" caption="Total Leads" measure="1" displayFolder="" measureGroup="EMERALD_PROPERTIES" count="0"/>
    <cacheHierarchy uniqueName="[Measures].[Clients]" caption="Clients" measure="1" displayFolder="" measureGroup="EMERALD_PROPERTIES" count="0"/>
    <cacheHierarchy uniqueName="[Measures].[Conversion Rate]" caption="Conversion Rate" measure="1" displayFolder="" measureGroup="EMERALD_PROPERTIES" count="0" oneField="1">
      <fieldsUsage count="1">
        <fieldUsage x="1"/>
      </fieldsUsage>
    </cacheHierarchy>
    <cacheHierarchy uniqueName="[Measures].[Potential Clients]" caption="Potential Clients" measure="1" displayFolder="" measureGroup="EMERALD_PROPERTIES" count="0"/>
    <cacheHierarchy uniqueName="[Measures].[__XL_Count EMERALD_PROPERTIES]" caption="__XL_Count EMERALD_PROPERTIES" measure="1" displayFolder="" measureGroup="EMERALD_PROPERTIES" count="0" hidden="1"/>
    <cacheHierarchy uniqueName="[Measures].[__No measures defined]" caption="__No measures defined" measure="1" displayFolder="" count="0" hidden="1"/>
  </cacheHierarchies>
  <kpis count="0"/>
  <dimensions count="2">
    <dimension name="EMERALD_PROPERTIES" uniqueName="[EMERALD_PROPERTIES]" caption="EMERALD_PROPERTIES"/>
    <dimension measure="1" name="Measures" uniqueName="[Measures]" caption="Measures"/>
  </dimensions>
  <measureGroups count="1">
    <measureGroup name="EMERALD_PROPERTIES" caption="EMERALD_PROPERTI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bokobong Archibong" refreshedDate="46232.384085763886" backgroundQuery="1" createdVersion="7" refreshedVersion="7" minRefreshableVersion="3" recordCount="0" supportSubquery="1" supportAdvancedDrill="1" xr:uid="{A581C49C-3FCA-4CD6-862A-CCD5363801B4}">
  <cacheSource type="external" connectionId="2"/>
  <cacheFields count="3">
    <cacheField name="[Measures].[Count of Client ID]" caption="Count of Client ID" numFmtId="0" hierarchy="8" level="32767"/>
    <cacheField name="[EMERALD_PROPERTIES].[Property Type].[Property Type]" caption="Property Type" numFmtId="0" hierarchy="6" level="1">
      <sharedItems count="3">
        <s v="Commercial"/>
        <s v="Industrial"/>
        <s v="Residential"/>
      </sharedItems>
    </cacheField>
    <cacheField name="[EMERALD_PROPERTIES].[State].[State]" caption="State" numFmtId="0" hierarchy="5" level="1">
      <sharedItems containsSemiMixedTypes="0" containsNonDate="0" containsString="0"/>
    </cacheField>
  </cacheFields>
  <cacheHierarchies count="15">
    <cacheHierarchy uniqueName="[EMERALD_PROPERTIES].[Client ID]" caption="Client ID" attribute="1" defaultMemberUniqueName="[EMERALD_PROPERTIES].[Client ID].[All]" allUniqueName="[EMERALD_PROPERTIES].[Client ID].[All]" dimensionUniqueName="[EMERALD_PROPERTIES]" displayFolder="" count="0" memberValueDatatype="130" unbalanced="0"/>
    <cacheHierarchy uniqueName="[EMERALD_PROPERTIES].[Gender]" caption="Gender" attribute="1" defaultMemberUniqueName="[EMERALD_PROPERTIES].[Gender].[All]" allUniqueName="[EMERALD_PROPERTIES].[Gender].[All]" dimensionUniqueName="[EMERALD_PROPERTIES]" displayFolder="" count="0" memberValueDatatype="130" unbalanced="0"/>
    <cacheHierarchy uniqueName="[EMERALD_PROPERTIES].[Sales Rep.]" caption="Sales Rep." attribute="1" defaultMemberUniqueName="[EMERALD_PROPERTIES].[Sales Rep.].[All]" allUniqueName="[EMERALD_PROPERTIES].[Sales Rep.].[All]" dimensionUniqueName="[EMERALD_PROPERTIES]" displayFolder="" count="0" memberValueDatatype="130" unbalanced="0"/>
    <cacheHierarchy uniqueName="[EMERALD_PROPERTIES].[Date]" caption="Date" attribute="1" time="1" defaultMemberUniqueName="[EMERALD_PROPERTIES].[Date].[All]" allUniqueName="[EMERALD_PROPERTIES].[Date].[All]" dimensionUniqueName="[EMERALD_PROPERTIES]" displayFolder="" count="0" memberValueDatatype="7" unbalanced="0"/>
    <cacheHierarchy uniqueName="[EMERALD_PROPERTIES].[Sales Status]" caption="Sales Status" attribute="1" defaultMemberUniqueName="[EMERALD_PROPERTIES].[Sales Status].[All]" allUniqueName="[EMERALD_PROPERTIES].[Sales Status].[All]" dimensionUniqueName="[EMERALD_PROPERTIES]" displayFolder="" count="2" memberValueDatatype="130" unbalanced="0"/>
    <cacheHierarchy uniqueName="[EMERALD_PROPERTIES].[State]" caption="State" attribute="1" defaultMemberUniqueName="[EMERALD_PROPERTIES].[State].[All]" allUniqueName="[EMERALD_PROPERTIES].[State].[All]" dimensionUniqueName="[EMERALD_PROPERTIES]" displayFolder="" count="2" memberValueDatatype="130" unbalanced="0">
      <fieldsUsage count="2">
        <fieldUsage x="-1"/>
        <fieldUsage x="2"/>
      </fieldsUsage>
    </cacheHierarchy>
    <cacheHierarchy uniqueName="[EMERALD_PROPERTIES].[Property Type]" caption="Property Type" attribute="1" defaultMemberUniqueName="[EMERALD_PROPERTIES].[Property Type].[All]" allUniqueName="[EMERALD_PROPERTIES].[Property Type].[All]" dimensionUniqueName="[EMERALD_PROPERTIES]" displayFolder="" count="2" memberValueDatatype="130" unbalanced="0">
      <fieldsUsage count="2">
        <fieldUsage x="-1"/>
        <fieldUsage x="1"/>
      </fieldsUsage>
    </cacheHierarchy>
    <cacheHierarchy uniqueName="[EMERALD_PROPERTIES].[Inspection Status]" caption="Inspection Status" attribute="1" defaultMemberUniqueName="[EMERALD_PROPERTIES].[Inspection Status].[All]" allUniqueName="[EMERALD_PROPERTIES].[Inspection Status].[All]" dimensionUniqueName="[EMERALD_PROPERTIES]" displayFolder="" count="2" memberValueDatatype="130" unbalanced="0"/>
    <cacheHierarchy uniqueName="[Measures].[Count of Client ID]" caption="Count of Client ID" measure="1" displayFolder="" measureGroup="EMERALD_PROPERTIES" count="0" oneField="1">
      <fieldsUsage count="1">
        <fieldUsage x="0"/>
      </fieldsUsage>
      <extLst>
        <ext xmlns:x15="http://schemas.microsoft.com/office/spreadsheetml/2010/11/main" uri="{B97F6D7D-B522-45F9-BDA1-12C45D357490}">
          <x15:cacheHierarchy aggregatedColumn="0"/>
        </ext>
      </extLst>
    </cacheHierarchy>
    <cacheHierarchy uniqueName="[Measures].[Total Leads]" caption="Total Leads" measure="1" displayFolder="" measureGroup="EMERALD_PROPERTIES" count="0"/>
    <cacheHierarchy uniqueName="[Measures].[Clients]" caption="Clients" measure="1" displayFolder="" measureGroup="EMERALD_PROPERTIES" count="0"/>
    <cacheHierarchy uniqueName="[Measures].[Conversion Rate]" caption="Conversion Rate" measure="1" displayFolder="" measureGroup="EMERALD_PROPERTIES" count="0"/>
    <cacheHierarchy uniqueName="[Measures].[Potential Clients]" caption="Potential Clients" measure="1" displayFolder="" measureGroup="EMERALD_PROPERTIES" count="0"/>
    <cacheHierarchy uniqueName="[Measures].[__XL_Count EMERALD_PROPERTIES]" caption="__XL_Count EMERALD_PROPERTIES" measure="1" displayFolder="" measureGroup="EMERALD_PROPERTIES" count="0" hidden="1"/>
    <cacheHierarchy uniqueName="[Measures].[__No measures defined]" caption="__No measures defined" measure="1" displayFolder="" count="0" hidden="1"/>
  </cacheHierarchies>
  <kpis count="0"/>
  <dimensions count="2">
    <dimension name="EMERALD_PROPERTIES" uniqueName="[EMERALD_PROPERTIES]" caption="EMERALD_PROPERTIES"/>
    <dimension measure="1" name="Measures" uniqueName="[Measures]" caption="Measures"/>
  </dimensions>
  <measureGroups count="1">
    <measureGroup name="EMERALD_PROPERTIES" caption="EMERALD_PROPERTI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bokobong Archibong" refreshedDate="46232.384181944442" backgroundQuery="1" createdVersion="7" refreshedVersion="7" minRefreshableVersion="3" recordCount="0" supportSubquery="1" supportAdvancedDrill="1" xr:uid="{8C2292D2-428B-424F-8111-5452AA44FA8C}">
  <cacheSource type="external" connectionId="2"/>
  <cacheFields count="5">
    <cacheField name="[Measures].[Total Leads]" caption="Total Leads" numFmtId="0" hierarchy="9" level="32767"/>
    <cacheField name="[Measures].[Clients]" caption="Clients" numFmtId="0" hierarchy="10" level="32767"/>
    <cacheField name="[Measures].[Conversion Rate]" caption="Conversion Rate" numFmtId="0" hierarchy="11" level="32767"/>
    <cacheField name="[Measures].[Potential Clients]" caption="Potential Clients" numFmtId="0" hierarchy="12" level="32767"/>
    <cacheField name="[EMERALD_PROPERTIES].[Property Type].[Property Type]" caption="Property Type" numFmtId="0" hierarchy="6" level="1">
      <sharedItems containsSemiMixedTypes="0" containsNonDate="0" containsString="0"/>
    </cacheField>
  </cacheFields>
  <cacheHierarchies count="15">
    <cacheHierarchy uniqueName="[EMERALD_PROPERTIES].[Client ID]" caption="Client ID" attribute="1" defaultMemberUniqueName="[EMERALD_PROPERTIES].[Client ID].[All]" allUniqueName="[EMERALD_PROPERTIES].[Client ID].[All]" dimensionUniqueName="[EMERALD_PROPERTIES]" displayFolder="" count="0" memberValueDatatype="130" unbalanced="0"/>
    <cacheHierarchy uniqueName="[EMERALD_PROPERTIES].[Gender]" caption="Gender" attribute="1" defaultMemberUniqueName="[EMERALD_PROPERTIES].[Gender].[All]" allUniqueName="[EMERALD_PROPERTIES].[Gender].[All]" dimensionUniqueName="[EMERALD_PROPERTIES]" displayFolder="" count="0" memberValueDatatype="130" unbalanced="0"/>
    <cacheHierarchy uniqueName="[EMERALD_PROPERTIES].[Sales Rep.]" caption="Sales Rep." attribute="1" defaultMemberUniqueName="[EMERALD_PROPERTIES].[Sales Rep.].[All]" allUniqueName="[EMERALD_PROPERTIES].[Sales Rep.].[All]" dimensionUniqueName="[EMERALD_PROPERTIES]" displayFolder="" count="0" memberValueDatatype="130" unbalanced="0"/>
    <cacheHierarchy uniqueName="[EMERALD_PROPERTIES].[Date]" caption="Date" attribute="1" time="1" defaultMemberUniqueName="[EMERALD_PROPERTIES].[Date].[All]" allUniqueName="[EMERALD_PROPERTIES].[Date].[All]" dimensionUniqueName="[EMERALD_PROPERTIES]" displayFolder="" count="0" memberValueDatatype="7" unbalanced="0"/>
    <cacheHierarchy uniqueName="[EMERALD_PROPERTIES].[Sales Status]" caption="Sales Status" attribute="1" defaultMemberUniqueName="[EMERALD_PROPERTIES].[Sales Status].[All]" allUniqueName="[EMERALD_PROPERTIES].[Sales Status].[All]" dimensionUniqueName="[EMERALD_PROPERTIES]" displayFolder="" count="2" memberValueDatatype="130" unbalanced="0"/>
    <cacheHierarchy uniqueName="[EMERALD_PROPERTIES].[State]" caption="State" attribute="1" defaultMemberUniqueName="[EMERALD_PROPERTIES].[State].[All]" allUniqueName="[EMERALD_PROPERTIES].[State].[All]" dimensionUniqueName="[EMERALD_PROPERTIES]" displayFolder="" count="2" memberValueDatatype="130" unbalanced="0"/>
    <cacheHierarchy uniqueName="[EMERALD_PROPERTIES].[Property Type]" caption="Property Type" attribute="1" defaultMemberUniqueName="[EMERALD_PROPERTIES].[Property Type].[All]" allUniqueName="[EMERALD_PROPERTIES].[Property Type].[All]" dimensionUniqueName="[EMERALD_PROPERTIES]" displayFolder="" count="2" memberValueDatatype="130" unbalanced="0">
      <fieldsUsage count="2">
        <fieldUsage x="-1"/>
        <fieldUsage x="4"/>
      </fieldsUsage>
    </cacheHierarchy>
    <cacheHierarchy uniqueName="[EMERALD_PROPERTIES].[Inspection Status]" caption="Inspection Status" attribute="1" defaultMemberUniqueName="[EMERALD_PROPERTIES].[Inspection Status].[All]" allUniqueName="[EMERALD_PROPERTIES].[Inspection Status].[All]" dimensionUniqueName="[EMERALD_PROPERTIES]" displayFolder="" count="2" memberValueDatatype="130" unbalanced="0"/>
    <cacheHierarchy uniqueName="[Measures].[Count of Client ID]" caption="Count of Client ID" measure="1" displayFolder="" measureGroup="EMERALD_PROPERTIES" count="0">
      <extLst>
        <ext xmlns:x15="http://schemas.microsoft.com/office/spreadsheetml/2010/11/main" uri="{B97F6D7D-B522-45F9-BDA1-12C45D357490}">
          <x15:cacheHierarchy aggregatedColumn="0"/>
        </ext>
      </extLst>
    </cacheHierarchy>
    <cacheHierarchy uniqueName="[Measures].[Total Leads]" caption="Total Leads" measure="1" displayFolder="" measureGroup="EMERALD_PROPERTIES" count="0" oneField="1">
      <fieldsUsage count="1">
        <fieldUsage x="0"/>
      </fieldsUsage>
    </cacheHierarchy>
    <cacheHierarchy uniqueName="[Measures].[Clients]" caption="Clients" measure="1" displayFolder="" measureGroup="EMERALD_PROPERTIES" count="0" oneField="1">
      <fieldsUsage count="1">
        <fieldUsage x="1"/>
      </fieldsUsage>
    </cacheHierarchy>
    <cacheHierarchy uniqueName="[Measures].[Conversion Rate]" caption="Conversion Rate" measure="1" displayFolder="" measureGroup="EMERALD_PROPERTIES" count="0" oneField="1">
      <fieldsUsage count="1">
        <fieldUsage x="2"/>
      </fieldsUsage>
    </cacheHierarchy>
    <cacheHierarchy uniqueName="[Measures].[Potential Clients]" caption="Potential Clients" measure="1" displayFolder="" measureGroup="EMERALD_PROPERTIES" count="0" oneField="1">
      <fieldsUsage count="1">
        <fieldUsage x="3"/>
      </fieldsUsage>
    </cacheHierarchy>
    <cacheHierarchy uniqueName="[Measures].[__XL_Count EMERALD_PROPERTIES]" caption="__XL_Count EMERALD_PROPERTIES" measure="1" displayFolder="" measureGroup="EMERALD_PROPERTIES" count="0" hidden="1"/>
    <cacheHierarchy uniqueName="[Measures].[__No measures defined]" caption="__No measures defined" measure="1" displayFolder="" count="0" hidden="1"/>
  </cacheHierarchies>
  <kpis count="0"/>
  <dimensions count="2">
    <dimension name="EMERALD_PROPERTIES" uniqueName="[EMERALD_PROPERTIES]" caption="EMERALD_PROPERTIES"/>
    <dimension measure="1" name="Measures" uniqueName="[Measures]" caption="Measures"/>
  </dimensions>
  <measureGroups count="1">
    <measureGroup name="EMERALD_PROPERTIES" caption="EMERALD_PROPERTI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bokobong Archibong" refreshedDate="46232.384182291666" backgroundQuery="1" createdVersion="7" refreshedVersion="7" minRefreshableVersion="3" recordCount="0" supportSubquery="1" supportAdvancedDrill="1" xr:uid="{3EEC0E92-56AF-4A71-BB83-6B8E5A12CBD6}">
  <cacheSource type="external" connectionId="2"/>
  <cacheFields count="3">
    <cacheField name="[Measures].[Count of Client ID]" caption="Count of Client ID" numFmtId="0" hierarchy="8" level="32767"/>
    <cacheField name="[EMERALD_PROPERTIES].[Gender].[Gender]" caption="Gender" numFmtId="0" hierarchy="1" level="1">
      <sharedItems count="2">
        <s v="Female"/>
        <s v="Male"/>
      </sharedItems>
    </cacheField>
    <cacheField name="[EMERALD_PROPERTIES].[Property Type].[Property Type]" caption="Property Type" numFmtId="0" hierarchy="6" level="1">
      <sharedItems containsSemiMixedTypes="0" containsNonDate="0" containsString="0"/>
    </cacheField>
  </cacheFields>
  <cacheHierarchies count="15">
    <cacheHierarchy uniqueName="[EMERALD_PROPERTIES].[Client ID]" caption="Client ID" attribute="1" defaultMemberUniqueName="[EMERALD_PROPERTIES].[Client ID].[All]" allUniqueName="[EMERALD_PROPERTIES].[Client ID].[All]" dimensionUniqueName="[EMERALD_PROPERTIES]" displayFolder="" count="2" memberValueDatatype="130" unbalanced="0"/>
    <cacheHierarchy uniqueName="[EMERALD_PROPERTIES].[Gender]" caption="Gender" attribute="1" defaultMemberUniqueName="[EMERALD_PROPERTIES].[Gender].[All]" allUniqueName="[EMERALD_PROPERTIES].[Gender].[All]" dimensionUniqueName="[EMERALD_PROPERTIES]" displayFolder="" count="2" memberValueDatatype="130" unbalanced="0">
      <fieldsUsage count="2">
        <fieldUsage x="-1"/>
        <fieldUsage x="1"/>
      </fieldsUsage>
    </cacheHierarchy>
    <cacheHierarchy uniqueName="[EMERALD_PROPERTIES].[Sales Rep.]" caption="Sales Rep." attribute="1" defaultMemberUniqueName="[EMERALD_PROPERTIES].[Sales Rep.].[All]" allUniqueName="[EMERALD_PROPERTIES].[Sales Rep.].[All]" dimensionUniqueName="[EMERALD_PROPERTIES]" displayFolder="" count="2" memberValueDatatype="130" unbalanced="0"/>
    <cacheHierarchy uniqueName="[EMERALD_PROPERTIES].[Date]" caption="Date" attribute="1" time="1" defaultMemberUniqueName="[EMERALD_PROPERTIES].[Date].[All]" allUniqueName="[EMERALD_PROPERTIES].[Date].[All]" dimensionUniqueName="[EMERALD_PROPERTIES]" displayFolder="" count="2" memberValueDatatype="7" unbalanced="0"/>
    <cacheHierarchy uniqueName="[EMERALD_PROPERTIES].[Sales Status]" caption="Sales Status" attribute="1" defaultMemberUniqueName="[EMERALD_PROPERTIES].[Sales Status].[All]" allUniqueName="[EMERALD_PROPERTIES].[Sales Status].[All]" dimensionUniqueName="[EMERALD_PROPERTIES]" displayFolder="" count="2" memberValueDatatype="130" unbalanced="0"/>
    <cacheHierarchy uniqueName="[EMERALD_PROPERTIES].[State]" caption="State" attribute="1" defaultMemberUniqueName="[EMERALD_PROPERTIES].[State].[All]" allUniqueName="[EMERALD_PROPERTIES].[State].[All]" dimensionUniqueName="[EMERALD_PROPERTIES]" displayFolder="" count="2" memberValueDatatype="130" unbalanced="0"/>
    <cacheHierarchy uniqueName="[EMERALD_PROPERTIES].[Property Type]" caption="Property Type" attribute="1" defaultMemberUniqueName="[EMERALD_PROPERTIES].[Property Type].[All]" allUniqueName="[EMERALD_PROPERTIES].[Property Type].[All]" dimensionUniqueName="[EMERALD_PROPERTIES]" displayFolder="" count="2" memberValueDatatype="130" unbalanced="0">
      <fieldsUsage count="2">
        <fieldUsage x="-1"/>
        <fieldUsage x="2"/>
      </fieldsUsage>
    </cacheHierarchy>
    <cacheHierarchy uniqueName="[EMERALD_PROPERTIES].[Inspection Status]" caption="Inspection Status" attribute="1" defaultMemberUniqueName="[EMERALD_PROPERTIES].[Inspection Status].[All]" allUniqueName="[EMERALD_PROPERTIES].[Inspection Status].[All]" dimensionUniqueName="[EMERALD_PROPERTIES]" displayFolder="" count="2" memberValueDatatype="130" unbalanced="0"/>
    <cacheHierarchy uniqueName="[Measures].[Count of Client ID]" caption="Count of Client ID" measure="1" displayFolder="" measureGroup="EMERALD_PROPERTIES" count="0" oneField="1">
      <fieldsUsage count="1">
        <fieldUsage x="0"/>
      </fieldsUsage>
      <extLst>
        <ext xmlns:x15="http://schemas.microsoft.com/office/spreadsheetml/2010/11/main" uri="{B97F6D7D-B522-45F9-BDA1-12C45D357490}">
          <x15:cacheHierarchy aggregatedColumn="0"/>
        </ext>
      </extLst>
    </cacheHierarchy>
    <cacheHierarchy uniqueName="[Measures].[Total Leads]" caption="Total Leads" measure="1" displayFolder="" measureGroup="EMERALD_PROPERTIES" count="0"/>
    <cacheHierarchy uniqueName="[Measures].[Clients]" caption="Clients" measure="1" displayFolder="" measureGroup="EMERALD_PROPERTIES" count="0"/>
    <cacheHierarchy uniqueName="[Measures].[Conversion Rate]" caption="Conversion Rate" measure="1" displayFolder="" measureGroup="EMERALD_PROPERTIES" count="0"/>
    <cacheHierarchy uniqueName="[Measures].[Potential Clients]" caption="Potential Clients" measure="1" displayFolder="" measureGroup="EMERALD_PROPERTIES" count="0"/>
    <cacheHierarchy uniqueName="[Measures].[__XL_Count EMERALD_PROPERTIES]" caption="__XL_Count EMERALD_PROPERTIES" measure="1" displayFolder="" measureGroup="EMERALD_PROPERTIES" count="0" hidden="1"/>
    <cacheHierarchy uniqueName="[Measures].[__No measures defined]" caption="__No measures defined" measure="1" displayFolder="" count="0" hidden="1"/>
  </cacheHierarchies>
  <kpis count="0"/>
  <dimensions count="2">
    <dimension name="EMERALD_PROPERTIES" uniqueName="[EMERALD_PROPERTIES]" caption="EMERALD_PROPERTIES"/>
    <dimension measure="1" name="Measures" uniqueName="[Measures]" caption="Measures"/>
  </dimensions>
  <measureGroups count="1">
    <measureGroup name="EMERALD_PROPERTIES" caption="EMERALD_PROPERTI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bokobong Archibong" refreshedDate="46232.384182638889" backgroundQuery="1" createdVersion="7" refreshedVersion="7" minRefreshableVersion="3" recordCount="0" supportSubquery="1" supportAdvancedDrill="1" xr:uid="{FF97B0F7-E201-4899-9519-6AB77D2F0F18}">
  <cacheSource type="external" connectionId="2"/>
  <cacheFields count="3">
    <cacheField name="[Measures].[Count of Client ID]" caption="Count of Client ID" numFmtId="0" hierarchy="8" level="32767"/>
    <cacheField name="[EMERALD_PROPERTIES].[Inspection Status].[Inspection Status]" caption="Inspection Status" numFmtId="0" hierarchy="7" level="1">
      <sharedItems count="2">
        <s v="No"/>
        <s v="Yes"/>
      </sharedItems>
    </cacheField>
    <cacheField name="[EMERALD_PROPERTIES].[Property Type].[Property Type]" caption="Property Type" numFmtId="0" hierarchy="6" level="1">
      <sharedItems containsSemiMixedTypes="0" containsNonDate="0" containsString="0"/>
    </cacheField>
  </cacheFields>
  <cacheHierarchies count="15">
    <cacheHierarchy uniqueName="[EMERALD_PROPERTIES].[Client ID]" caption="Client ID" attribute="1" defaultMemberUniqueName="[EMERALD_PROPERTIES].[Client ID].[All]" allUniqueName="[EMERALD_PROPERTIES].[Client ID].[All]" dimensionUniqueName="[EMERALD_PROPERTIES]" displayFolder="" count="0" memberValueDatatype="130" unbalanced="0"/>
    <cacheHierarchy uniqueName="[EMERALD_PROPERTIES].[Gender]" caption="Gender" attribute="1" defaultMemberUniqueName="[EMERALD_PROPERTIES].[Gender].[All]" allUniqueName="[EMERALD_PROPERTIES].[Gender].[All]" dimensionUniqueName="[EMERALD_PROPERTIES]" displayFolder="" count="0" memberValueDatatype="130" unbalanced="0"/>
    <cacheHierarchy uniqueName="[EMERALD_PROPERTIES].[Sales Rep.]" caption="Sales Rep." attribute="1" defaultMemberUniqueName="[EMERALD_PROPERTIES].[Sales Rep.].[All]" allUniqueName="[EMERALD_PROPERTIES].[Sales Rep.].[All]" dimensionUniqueName="[EMERALD_PROPERTIES]" displayFolder="" count="0" memberValueDatatype="130" unbalanced="0"/>
    <cacheHierarchy uniqueName="[EMERALD_PROPERTIES].[Date]" caption="Date" attribute="1" time="1" defaultMemberUniqueName="[EMERALD_PROPERTIES].[Date].[All]" allUniqueName="[EMERALD_PROPERTIES].[Date].[All]" dimensionUniqueName="[EMERALD_PROPERTIES]" displayFolder="" count="0" memberValueDatatype="7" unbalanced="0"/>
    <cacheHierarchy uniqueName="[EMERALD_PROPERTIES].[Sales Status]" caption="Sales Status" attribute="1" defaultMemberUniqueName="[EMERALD_PROPERTIES].[Sales Status].[All]" allUniqueName="[EMERALD_PROPERTIES].[Sales Status].[All]" dimensionUniqueName="[EMERALD_PROPERTIES]" displayFolder="" count="2" memberValueDatatype="130" unbalanced="0"/>
    <cacheHierarchy uniqueName="[EMERALD_PROPERTIES].[State]" caption="State" attribute="1" defaultMemberUniqueName="[EMERALD_PROPERTIES].[State].[All]" allUniqueName="[EMERALD_PROPERTIES].[State].[All]" dimensionUniqueName="[EMERALD_PROPERTIES]" displayFolder="" count="2" memberValueDatatype="130" unbalanced="0"/>
    <cacheHierarchy uniqueName="[EMERALD_PROPERTIES].[Property Type]" caption="Property Type" attribute="1" defaultMemberUniqueName="[EMERALD_PROPERTIES].[Property Type].[All]" allUniqueName="[EMERALD_PROPERTIES].[Property Type].[All]" dimensionUniqueName="[EMERALD_PROPERTIES]" displayFolder="" count="2" memberValueDatatype="130" unbalanced="0">
      <fieldsUsage count="2">
        <fieldUsage x="-1"/>
        <fieldUsage x="2"/>
      </fieldsUsage>
    </cacheHierarchy>
    <cacheHierarchy uniqueName="[EMERALD_PROPERTIES].[Inspection Status]" caption="Inspection Status" attribute="1" defaultMemberUniqueName="[EMERALD_PROPERTIES].[Inspection Status].[All]" allUniqueName="[EMERALD_PROPERTIES].[Inspection Status].[All]" dimensionUniqueName="[EMERALD_PROPERTIES]" displayFolder="" count="2" memberValueDatatype="130" unbalanced="0">
      <fieldsUsage count="2">
        <fieldUsage x="-1"/>
        <fieldUsage x="1"/>
      </fieldsUsage>
    </cacheHierarchy>
    <cacheHierarchy uniqueName="[Measures].[Count of Client ID]" caption="Count of Client ID" measure="1" displayFolder="" measureGroup="EMERALD_PROPERTIES" count="0" oneField="1">
      <fieldsUsage count="1">
        <fieldUsage x="0"/>
      </fieldsUsage>
      <extLst>
        <ext xmlns:x15="http://schemas.microsoft.com/office/spreadsheetml/2010/11/main" uri="{B97F6D7D-B522-45F9-BDA1-12C45D357490}">
          <x15:cacheHierarchy aggregatedColumn="0"/>
        </ext>
      </extLst>
    </cacheHierarchy>
    <cacheHierarchy uniqueName="[Measures].[Total Leads]" caption="Total Leads" measure="1" displayFolder="" measureGroup="EMERALD_PROPERTIES" count="0"/>
    <cacheHierarchy uniqueName="[Measures].[Clients]" caption="Clients" measure="1" displayFolder="" measureGroup="EMERALD_PROPERTIES" count="0"/>
    <cacheHierarchy uniqueName="[Measures].[Conversion Rate]" caption="Conversion Rate" measure="1" displayFolder="" measureGroup="EMERALD_PROPERTIES" count="0"/>
    <cacheHierarchy uniqueName="[Measures].[Potential Clients]" caption="Potential Clients" measure="1" displayFolder="" measureGroup="EMERALD_PROPERTIES" count="0"/>
    <cacheHierarchy uniqueName="[Measures].[__XL_Count EMERALD_PROPERTIES]" caption="__XL_Count EMERALD_PROPERTIES" measure="1" displayFolder="" measureGroup="EMERALD_PROPERTIES" count="0" hidden="1"/>
    <cacheHierarchy uniqueName="[Measures].[__No measures defined]" caption="__No measures defined" measure="1" displayFolder="" count="0" hidden="1"/>
  </cacheHierarchies>
  <kpis count="0"/>
  <dimensions count="2">
    <dimension name="EMERALD_PROPERTIES" uniqueName="[EMERALD_PROPERTIES]" caption="EMERALD_PROPERTIES"/>
    <dimension measure="1" name="Measures" uniqueName="[Measures]" caption="Measures"/>
  </dimensions>
  <measureGroups count="1">
    <measureGroup name="EMERALD_PROPERTIES" caption="EMERALD_PROPERTI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bokobong Archibong" refreshedDate="46232.384182986112" backgroundQuery="1" createdVersion="7" refreshedVersion="7" minRefreshableVersion="3" recordCount="0" supportSubquery="1" supportAdvancedDrill="1" xr:uid="{C49BBFB4-2613-4D49-80EF-CD0E0C8E4735}">
  <cacheSource type="external" connectionId="2"/>
  <cacheFields count="3">
    <cacheField name="[Measures].[Count of Client ID]" caption="Count of Client ID" numFmtId="0" hierarchy="8" level="32767"/>
    <cacheField name="[EMERALD_PROPERTIES].[Sales Rep.].[Sales Rep.]" caption="Sales Rep." numFmtId="0" hierarchy="2" level="1">
      <sharedItems count="6">
        <s v="Ahmed"/>
        <s v="Chioma"/>
        <s v="Ekemini"/>
        <s v="Funmi"/>
        <s v="Idara"/>
        <s v="Ngozi"/>
      </sharedItems>
    </cacheField>
    <cacheField name="[EMERALD_PROPERTIES].[Property Type].[Property Type]" caption="Property Type" numFmtId="0" hierarchy="6" level="1">
      <sharedItems containsSemiMixedTypes="0" containsNonDate="0" containsString="0"/>
    </cacheField>
  </cacheFields>
  <cacheHierarchies count="15">
    <cacheHierarchy uniqueName="[EMERALD_PROPERTIES].[Client ID]" caption="Client ID" attribute="1" defaultMemberUniqueName="[EMERALD_PROPERTIES].[Client ID].[All]" allUniqueName="[EMERALD_PROPERTIES].[Client ID].[All]" dimensionUniqueName="[EMERALD_PROPERTIES]" displayFolder="" count="0" memberValueDatatype="130" unbalanced="0"/>
    <cacheHierarchy uniqueName="[EMERALD_PROPERTIES].[Gender]" caption="Gender" attribute="1" defaultMemberUniqueName="[EMERALD_PROPERTIES].[Gender].[All]" allUniqueName="[EMERALD_PROPERTIES].[Gender].[All]" dimensionUniqueName="[EMERALD_PROPERTIES]" displayFolder="" count="0" memberValueDatatype="130" unbalanced="0"/>
    <cacheHierarchy uniqueName="[EMERALD_PROPERTIES].[Sales Rep.]" caption="Sales Rep." attribute="1" defaultMemberUniqueName="[EMERALD_PROPERTIES].[Sales Rep.].[All]" allUniqueName="[EMERALD_PROPERTIES].[Sales Rep.].[All]" dimensionUniqueName="[EMERALD_PROPERTIES]" displayFolder="" count="2" memberValueDatatype="130" unbalanced="0">
      <fieldsUsage count="2">
        <fieldUsage x="-1"/>
        <fieldUsage x="1"/>
      </fieldsUsage>
    </cacheHierarchy>
    <cacheHierarchy uniqueName="[EMERALD_PROPERTIES].[Date]" caption="Date" attribute="1" time="1" defaultMemberUniqueName="[EMERALD_PROPERTIES].[Date].[All]" allUniqueName="[EMERALD_PROPERTIES].[Date].[All]" dimensionUniqueName="[EMERALD_PROPERTIES]" displayFolder="" count="0" memberValueDatatype="7" unbalanced="0"/>
    <cacheHierarchy uniqueName="[EMERALD_PROPERTIES].[Sales Status]" caption="Sales Status" attribute="1" defaultMemberUniqueName="[EMERALD_PROPERTIES].[Sales Status].[All]" allUniqueName="[EMERALD_PROPERTIES].[Sales Status].[All]" dimensionUniqueName="[EMERALD_PROPERTIES]" displayFolder="" count="2" memberValueDatatype="130" unbalanced="0"/>
    <cacheHierarchy uniqueName="[EMERALD_PROPERTIES].[State]" caption="State" attribute="1" defaultMemberUniqueName="[EMERALD_PROPERTIES].[State].[All]" allUniqueName="[EMERALD_PROPERTIES].[State].[All]" dimensionUniqueName="[EMERALD_PROPERTIES]" displayFolder="" count="2" memberValueDatatype="130" unbalanced="0"/>
    <cacheHierarchy uniqueName="[EMERALD_PROPERTIES].[Property Type]" caption="Property Type" attribute="1" defaultMemberUniqueName="[EMERALD_PROPERTIES].[Property Type].[All]" allUniqueName="[EMERALD_PROPERTIES].[Property Type].[All]" dimensionUniqueName="[EMERALD_PROPERTIES]" displayFolder="" count="2" memberValueDatatype="130" unbalanced="0">
      <fieldsUsage count="2">
        <fieldUsage x="-1"/>
        <fieldUsage x="2"/>
      </fieldsUsage>
    </cacheHierarchy>
    <cacheHierarchy uniqueName="[EMERALD_PROPERTIES].[Inspection Status]" caption="Inspection Status" attribute="1" defaultMemberUniqueName="[EMERALD_PROPERTIES].[Inspection Status].[All]" allUniqueName="[EMERALD_PROPERTIES].[Inspection Status].[All]" dimensionUniqueName="[EMERALD_PROPERTIES]" displayFolder="" count="2" memberValueDatatype="130" unbalanced="0"/>
    <cacheHierarchy uniqueName="[Measures].[Count of Client ID]" caption="Count of Client ID" measure="1" displayFolder="" measureGroup="EMERALD_PROPERTIES" count="0" oneField="1">
      <fieldsUsage count="1">
        <fieldUsage x="0"/>
      </fieldsUsage>
      <extLst>
        <ext xmlns:x15="http://schemas.microsoft.com/office/spreadsheetml/2010/11/main" uri="{B97F6D7D-B522-45F9-BDA1-12C45D357490}">
          <x15:cacheHierarchy aggregatedColumn="0"/>
        </ext>
      </extLst>
    </cacheHierarchy>
    <cacheHierarchy uniqueName="[Measures].[Total Leads]" caption="Total Leads" measure="1" displayFolder="" measureGroup="EMERALD_PROPERTIES" count="0"/>
    <cacheHierarchy uniqueName="[Measures].[Clients]" caption="Clients" measure="1" displayFolder="" measureGroup="EMERALD_PROPERTIES" count="0"/>
    <cacheHierarchy uniqueName="[Measures].[Conversion Rate]" caption="Conversion Rate" measure="1" displayFolder="" measureGroup="EMERALD_PROPERTIES" count="0"/>
    <cacheHierarchy uniqueName="[Measures].[Potential Clients]" caption="Potential Clients" measure="1" displayFolder="" measureGroup="EMERALD_PROPERTIES" count="0"/>
    <cacheHierarchy uniqueName="[Measures].[__XL_Count EMERALD_PROPERTIES]" caption="__XL_Count EMERALD_PROPERTIES" measure="1" displayFolder="" measureGroup="EMERALD_PROPERTIES" count="0" hidden="1"/>
    <cacheHierarchy uniqueName="[Measures].[__No measures defined]" caption="__No measures defined" measure="1" displayFolder="" count="0" hidden="1"/>
  </cacheHierarchies>
  <kpis count="0"/>
  <dimensions count="2">
    <dimension name="EMERALD_PROPERTIES" uniqueName="[EMERALD_PROPERTIES]" caption="EMERALD_PROPERTIES"/>
    <dimension measure="1" name="Measures" uniqueName="[Measures]" caption="Measures"/>
  </dimensions>
  <measureGroups count="1">
    <measureGroup name="EMERALD_PROPERTIES" caption="EMERALD_PROPERTI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bokobong Archibong" refreshedDate="46232.384183333335" backgroundQuery="1" createdVersion="7" refreshedVersion="7" minRefreshableVersion="3" recordCount="0" supportSubquery="1" supportAdvancedDrill="1" xr:uid="{E8A8AF44-3C19-48B2-9842-BE00001C209C}">
  <cacheSource type="external" connectionId="2"/>
  <cacheFields count="3">
    <cacheField name="[Measures].[Count of Client ID]" caption="Count of Client ID" numFmtId="0" hierarchy="8" level="32767"/>
    <cacheField name="[EMERALD_PROPERTIES].[Sales Status].[Sales Status]" caption="Sales Status" numFmtId="0" hierarchy="4" level="1">
      <sharedItems count="4">
        <s v="Next Time"/>
        <s v="Not Interested"/>
        <s v="Paid"/>
        <s v="Too Expensive"/>
      </sharedItems>
    </cacheField>
    <cacheField name="[EMERALD_PROPERTIES].[Property Type].[Property Type]" caption="Property Type" numFmtId="0" hierarchy="6" level="1">
      <sharedItems containsSemiMixedTypes="0" containsNonDate="0" containsString="0"/>
    </cacheField>
  </cacheFields>
  <cacheHierarchies count="15">
    <cacheHierarchy uniqueName="[EMERALD_PROPERTIES].[Client ID]" caption="Client ID" attribute="1" defaultMemberUniqueName="[EMERALD_PROPERTIES].[Client ID].[All]" allUniqueName="[EMERALD_PROPERTIES].[Client ID].[All]" dimensionUniqueName="[EMERALD_PROPERTIES]" displayFolder="" count="0" memberValueDatatype="130" unbalanced="0"/>
    <cacheHierarchy uniqueName="[EMERALD_PROPERTIES].[Gender]" caption="Gender" attribute="1" defaultMemberUniqueName="[EMERALD_PROPERTIES].[Gender].[All]" allUniqueName="[EMERALD_PROPERTIES].[Gender].[All]" dimensionUniqueName="[EMERALD_PROPERTIES]" displayFolder="" count="0" memberValueDatatype="130" unbalanced="0"/>
    <cacheHierarchy uniqueName="[EMERALD_PROPERTIES].[Sales Rep.]" caption="Sales Rep." attribute="1" defaultMemberUniqueName="[EMERALD_PROPERTIES].[Sales Rep.].[All]" allUniqueName="[EMERALD_PROPERTIES].[Sales Rep.].[All]" dimensionUniqueName="[EMERALD_PROPERTIES]" displayFolder="" count="0" memberValueDatatype="130" unbalanced="0"/>
    <cacheHierarchy uniqueName="[EMERALD_PROPERTIES].[Date]" caption="Date" attribute="1" time="1" defaultMemberUniqueName="[EMERALD_PROPERTIES].[Date].[All]" allUniqueName="[EMERALD_PROPERTIES].[Date].[All]" dimensionUniqueName="[EMERALD_PROPERTIES]" displayFolder="" count="0" memberValueDatatype="7" unbalanced="0"/>
    <cacheHierarchy uniqueName="[EMERALD_PROPERTIES].[Sales Status]" caption="Sales Status" attribute="1" defaultMemberUniqueName="[EMERALD_PROPERTIES].[Sales Status].[All]" allUniqueName="[EMERALD_PROPERTIES].[Sales Status].[All]" dimensionUniqueName="[EMERALD_PROPERTIES]" displayFolder="" count="2" memberValueDatatype="130" unbalanced="0">
      <fieldsUsage count="2">
        <fieldUsage x="-1"/>
        <fieldUsage x="1"/>
      </fieldsUsage>
    </cacheHierarchy>
    <cacheHierarchy uniqueName="[EMERALD_PROPERTIES].[State]" caption="State" attribute="1" defaultMemberUniqueName="[EMERALD_PROPERTIES].[State].[All]" allUniqueName="[EMERALD_PROPERTIES].[State].[All]" dimensionUniqueName="[EMERALD_PROPERTIES]" displayFolder="" count="2" memberValueDatatype="130" unbalanced="0"/>
    <cacheHierarchy uniqueName="[EMERALD_PROPERTIES].[Property Type]" caption="Property Type" attribute="1" defaultMemberUniqueName="[EMERALD_PROPERTIES].[Property Type].[All]" allUniqueName="[EMERALD_PROPERTIES].[Property Type].[All]" dimensionUniqueName="[EMERALD_PROPERTIES]" displayFolder="" count="2" memberValueDatatype="130" unbalanced="0">
      <fieldsUsage count="2">
        <fieldUsage x="-1"/>
        <fieldUsage x="2"/>
      </fieldsUsage>
    </cacheHierarchy>
    <cacheHierarchy uniqueName="[EMERALD_PROPERTIES].[Inspection Status]" caption="Inspection Status" attribute="1" defaultMemberUniqueName="[EMERALD_PROPERTIES].[Inspection Status].[All]" allUniqueName="[EMERALD_PROPERTIES].[Inspection Status].[All]" dimensionUniqueName="[EMERALD_PROPERTIES]" displayFolder="" count="2" memberValueDatatype="130" unbalanced="0"/>
    <cacheHierarchy uniqueName="[Measures].[Count of Client ID]" caption="Count of Client ID" measure="1" displayFolder="" measureGroup="EMERALD_PROPERTIES" count="0" oneField="1">
      <fieldsUsage count="1">
        <fieldUsage x="0"/>
      </fieldsUsage>
      <extLst>
        <ext xmlns:x15="http://schemas.microsoft.com/office/spreadsheetml/2010/11/main" uri="{B97F6D7D-B522-45F9-BDA1-12C45D357490}">
          <x15:cacheHierarchy aggregatedColumn="0"/>
        </ext>
      </extLst>
    </cacheHierarchy>
    <cacheHierarchy uniqueName="[Measures].[Total Leads]" caption="Total Leads" measure="1" displayFolder="" measureGroup="EMERALD_PROPERTIES" count="0"/>
    <cacheHierarchy uniqueName="[Measures].[Clients]" caption="Clients" measure="1" displayFolder="" measureGroup="EMERALD_PROPERTIES" count="0"/>
    <cacheHierarchy uniqueName="[Measures].[Conversion Rate]" caption="Conversion Rate" measure="1" displayFolder="" measureGroup="EMERALD_PROPERTIES" count="0"/>
    <cacheHierarchy uniqueName="[Measures].[Potential Clients]" caption="Potential Clients" measure="1" displayFolder="" measureGroup="EMERALD_PROPERTIES" count="0"/>
    <cacheHierarchy uniqueName="[Measures].[__XL_Count EMERALD_PROPERTIES]" caption="__XL_Count EMERALD_PROPERTIES" measure="1" displayFolder="" measureGroup="EMERALD_PROPERTIES" count="0" hidden="1"/>
    <cacheHierarchy uniqueName="[Measures].[__No measures defined]" caption="__No measures defined" measure="1" displayFolder="" count="0" hidden="1"/>
  </cacheHierarchies>
  <kpis count="0"/>
  <dimensions count="2">
    <dimension name="EMERALD_PROPERTIES" uniqueName="[EMERALD_PROPERTIES]" caption="EMERALD_PROPERTIES"/>
    <dimension measure="1" name="Measures" uniqueName="[Measures]" caption="Measures"/>
  </dimensions>
  <measureGroups count="1">
    <measureGroup name="EMERALD_PROPERTIES" caption="EMERALD_PROPERTI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bokobong Archibong" refreshedDate="46232.384183680559" backgroundQuery="1" createdVersion="7" refreshedVersion="7" minRefreshableVersion="3" recordCount="0" supportSubquery="1" supportAdvancedDrill="1" xr:uid="{B8D02FF7-1D07-471F-87EE-FFD1E5BB8515}">
  <cacheSource type="external" connectionId="2"/>
  <cacheFields count="3">
    <cacheField name="[Measures].[Total Leads]" caption="Total Leads" numFmtId="0" hierarchy="9" level="32767"/>
    <cacheField name="[EMERALD_PROPERTIES].[State].[State]" caption="State" numFmtId="0" hierarchy="5" level="1">
      <sharedItems count="2">
        <s v="Lagos"/>
        <s v="Rivers"/>
      </sharedItems>
    </cacheField>
    <cacheField name="[EMERALD_PROPERTIES].[Property Type].[Property Type]" caption="Property Type" numFmtId="0" hierarchy="6" level="1">
      <sharedItems containsSemiMixedTypes="0" containsNonDate="0" containsString="0"/>
    </cacheField>
  </cacheFields>
  <cacheHierarchies count="15">
    <cacheHierarchy uniqueName="[EMERALD_PROPERTIES].[Client ID]" caption="Client ID" attribute="1" defaultMemberUniqueName="[EMERALD_PROPERTIES].[Client ID].[All]" allUniqueName="[EMERALD_PROPERTIES].[Client ID].[All]" dimensionUniqueName="[EMERALD_PROPERTIES]" displayFolder="" count="0" memberValueDatatype="130" unbalanced="0"/>
    <cacheHierarchy uniqueName="[EMERALD_PROPERTIES].[Gender]" caption="Gender" attribute="1" defaultMemberUniqueName="[EMERALD_PROPERTIES].[Gender].[All]" allUniqueName="[EMERALD_PROPERTIES].[Gender].[All]" dimensionUniqueName="[EMERALD_PROPERTIES]" displayFolder="" count="0" memberValueDatatype="130" unbalanced="0"/>
    <cacheHierarchy uniqueName="[EMERALD_PROPERTIES].[Sales Rep.]" caption="Sales Rep." attribute="1" defaultMemberUniqueName="[EMERALD_PROPERTIES].[Sales Rep.].[All]" allUniqueName="[EMERALD_PROPERTIES].[Sales Rep.].[All]" dimensionUniqueName="[EMERALD_PROPERTIES]" displayFolder="" count="0" memberValueDatatype="130" unbalanced="0"/>
    <cacheHierarchy uniqueName="[EMERALD_PROPERTIES].[Date]" caption="Date" attribute="1" time="1" defaultMemberUniqueName="[EMERALD_PROPERTIES].[Date].[All]" allUniqueName="[EMERALD_PROPERTIES].[Date].[All]" dimensionUniqueName="[EMERALD_PROPERTIES]" displayFolder="" count="0" memberValueDatatype="7" unbalanced="0"/>
    <cacheHierarchy uniqueName="[EMERALD_PROPERTIES].[Sales Status]" caption="Sales Status" attribute="1" defaultMemberUniqueName="[EMERALD_PROPERTIES].[Sales Status].[All]" allUniqueName="[EMERALD_PROPERTIES].[Sales Status].[All]" dimensionUniqueName="[EMERALD_PROPERTIES]" displayFolder="" count="2" memberValueDatatype="130" unbalanced="0"/>
    <cacheHierarchy uniqueName="[EMERALD_PROPERTIES].[State]" caption="State" attribute="1" defaultMemberUniqueName="[EMERALD_PROPERTIES].[State].[All]" allUniqueName="[EMERALD_PROPERTIES].[State].[All]" dimensionUniqueName="[EMERALD_PROPERTIES]" displayFolder="" count="2" memberValueDatatype="130" unbalanced="0">
      <fieldsUsage count="2">
        <fieldUsage x="-1"/>
        <fieldUsage x="1"/>
      </fieldsUsage>
    </cacheHierarchy>
    <cacheHierarchy uniqueName="[EMERALD_PROPERTIES].[Property Type]" caption="Property Type" attribute="1" defaultMemberUniqueName="[EMERALD_PROPERTIES].[Property Type].[All]" allUniqueName="[EMERALD_PROPERTIES].[Property Type].[All]" dimensionUniqueName="[EMERALD_PROPERTIES]" displayFolder="" count="2" memberValueDatatype="130" unbalanced="0">
      <fieldsUsage count="2">
        <fieldUsage x="-1"/>
        <fieldUsage x="2"/>
      </fieldsUsage>
    </cacheHierarchy>
    <cacheHierarchy uniqueName="[EMERALD_PROPERTIES].[Inspection Status]" caption="Inspection Status" attribute="1" defaultMemberUniqueName="[EMERALD_PROPERTIES].[Inspection Status].[All]" allUniqueName="[EMERALD_PROPERTIES].[Inspection Status].[All]" dimensionUniqueName="[EMERALD_PROPERTIES]" displayFolder="" count="2" memberValueDatatype="130" unbalanced="0"/>
    <cacheHierarchy uniqueName="[Measures].[Count of Client ID]" caption="Count of Client ID" measure="1" displayFolder="" measureGroup="EMERALD_PROPERTIES" count="0">
      <extLst>
        <ext xmlns:x15="http://schemas.microsoft.com/office/spreadsheetml/2010/11/main" uri="{B97F6D7D-B522-45F9-BDA1-12C45D357490}">
          <x15:cacheHierarchy aggregatedColumn="0"/>
        </ext>
      </extLst>
    </cacheHierarchy>
    <cacheHierarchy uniqueName="[Measures].[Total Leads]" caption="Total Leads" measure="1" displayFolder="" measureGroup="EMERALD_PROPERTIES" count="0" oneField="1">
      <fieldsUsage count="1">
        <fieldUsage x="0"/>
      </fieldsUsage>
    </cacheHierarchy>
    <cacheHierarchy uniqueName="[Measures].[Clients]" caption="Clients" measure="1" displayFolder="" measureGroup="EMERALD_PROPERTIES" count="0"/>
    <cacheHierarchy uniqueName="[Measures].[Conversion Rate]" caption="Conversion Rate" measure="1" displayFolder="" measureGroup="EMERALD_PROPERTIES" count="0"/>
    <cacheHierarchy uniqueName="[Measures].[Potential Clients]" caption="Potential Clients" measure="1" displayFolder="" measureGroup="EMERALD_PROPERTIES" count="0"/>
    <cacheHierarchy uniqueName="[Measures].[__XL_Count EMERALD_PROPERTIES]" caption="__XL_Count EMERALD_PROPERTIES" measure="1" displayFolder="" measureGroup="EMERALD_PROPERTIES" count="0" hidden="1"/>
    <cacheHierarchy uniqueName="[Measures].[__No measures defined]" caption="__No measures defined" measure="1" displayFolder="" count="0" hidden="1"/>
  </cacheHierarchies>
  <kpis count="0"/>
  <dimensions count="2">
    <dimension name="EMERALD_PROPERTIES" uniqueName="[EMERALD_PROPERTIES]" caption="EMERALD_PROPERTIES"/>
    <dimension measure="1" name="Measures" uniqueName="[Measures]" caption="Measures"/>
  </dimensions>
  <measureGroups count="1">
    <measureGroup name="EMERALD_PROPERTIES" caption="EMERALD_PROPERTI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bokobong Archibong" refreshedDate="46231.741034606479" backgroundQuery="1" createdVersion="3" refreshedVersion="7" minRefreshableVersion="3" recordCount="0" supportSubquery="1" supportAdvancedDrill="1" xr:uid="{1416645C-3ED6-4A16-9FCB-FD576D7C75B7}">
  <cacheSource type="external" connectionId="2">
    <extLst>
      <ext xmlns:x14="http://schemas.microsoft.com/office/spreadsheetml/2009/9/main" uri="{F057638F-6D5F-4e77-A914-E7F072B9BCA8}">
        <x14:sourceConnection name="ThisWorkbookDataModel"/>
      </ext>
    </extLst>
  </cacheSource>
  <cacheFields count="0"/>
  <cacheHierarchies count="15">
    <cacheHierarchy uniqueName="[EMERALD_PROPERTIES].[Client ID]" caption="Client ID" attribute="1" defaultMemberUniqueName="[EMERALD_PROPERTIES].[Client ID].[All]" allUniqueName="[EMERALD_PROPERTIES].[Client ID].[All]" dimensionUniqueName="[EMERALD_PROPERTIES]" displayFolder="" count="0" memberValueDatatype="130" unbalanced="0"/>
    <cacheHierarchy uniqueName="[EMERALD_PROPERTIES].[Gender]" caption="Gender" attribute="1" defaultMemberUniqueName="[EMERALD_PROPERTIES].[Gender].[All]" allUniqueName="[EMERALD_PROPERTIES].[Gender].[All]" dimensionUniqueName="[EMERALD_PROPERTIES]" displayFolder="" count="0" memberValueDatatype="130" unbalanced="0"/>
    <cacheHierarchy uniqueName="[EMERALD_PROPERTIES].[Sales Rep.]" caption="Sales Rep." attribute="1" defaultMemberUniqueName="[EMERALD_PROPERTIES].[Sales Rep.].[All]" allUniqueName="[EMERALD_PROPERTIES].[Sales Rep.].[All]" dimensionUniqueName="[EMERALD_PROPERTIES]" displayFolder="" count="0" memberValueDatatype="130" unbalanced="0"/>
    <cacheHierarchy uniqueName="[EMERALD_PROPERTIES].[Date]" caption="Date" attribute="1" time="1" defaultMemberUniqueName="[EMERALD_PROPERTIES].[Date].[All]" allUniqueName="[EMERALD_PROPERTIES].[Date].[All]" dimensionUniqueName="[EMERALD_PROPERTIES]" displayFolder="" count="0" memberValueDatatype="7" unbalanced="0"/>
    <cacheHierarchy uniqueName="[EMERALD_PROPERTIES].[Sales Status]" caption="Sales Status" attribute="1" defaultMemberUniqueName="[EMERALD_PROPERTIES].[Sales Status].[All]" allUniqueName="[EMERALD_PROPERTIES].[Sales Status].[All]" dimensionUniqueName="[EMERALD_PROPERTIES]" displayFolder="" count="2" memberValueDatatype="130" unbalanced="0"/>
    <cacheHierarchy uniqueName="[EMERALD_PROPERTIES].[State]" caption="State" attribute="1" defaultMemberUniqueName="[EMERALD_PROPERTIES].[State].[All]" allUniqueName="[EMERALD_PROPERTIES].[State].[All]" dimensionUniqueName="[EMERALD_PROPERTIES]" displayFolder="" count="2" memberValueDatatype="130" unbalanced="0"/>
    <cacheHierarchy uniqueName="[EMERALD_PROPERTIES].[Property Type]" caption="Property Type" attribute="1" defaultMemberUniqueName="[EMERALD_PROPERTIES].[Property Type].[All]" allUniqueName="[EMERALD_PROPERTIES].[Property Type].[All]" dimensionUniqueName="[EMERALD_PROPERTIES]" displayFolder="" count="2" memberValueDatatype="130" unbalanced="0"/>
    <cacheHierarchy uniqueName="[EMERALD_PROPERTIES].[Inspection Status]" caption="Inspection Status" attribute="1" defaultMemberUniqueName="[EMERALD_PROPERTIES].[Inspection Status].[All]" allUniqueName="[EMERALD_PROPERTIES].[Inspection Status].[All]" dimensionUniqueName="[EMERALD_PROPERTIES]" displayFolder="" count="2" memberValueDatatype="130" unbalanced="0"/>
    <cacheHierarchy uniqueName="[Measures].[Count of Client ID]" caption="Count of Client ID" measure="1" displayFolder="" measureGroup="EMERALD_PROPERTIES" count="0">
      <extLst>
        <ext xmlns:x15="http://schemas.microsoft.com/office/spreadsheetml/2010/11/main" uri="{B97F6D7D-B522-45F9-BDA1-12C45D357490}">
          <x15:cacheHierarchy aggregatedColumn="0"/>
        </ext>
      </extLst>
    </cacheHierarchy>
    <cacheHierarchy uniqueName="[Measures].[Total Leads]" caption="Total Leads" measure="1" displayFolder="" measureGroup="EMERALD_PROPERTIES" count="0"/>
    <cacheHierarchy uniqueName="[Measures].[Clients]" caption="Clients" measure="1" displayFolder="" measureGroup="EMERALD_PROPERTIES" count="0"/>
    <cacheHierarchy uniqueName="[Measures].[Conversion Rate]" caption="Conversion Rate" measure="1" displayFolder="" measureGroup="EMERALD_PROPERTIES" count="0"/>
    <cacheHierarchy uniqueName="[Measures].[Potential Clients]" caption="Potential Clients" measure="1" displayFolder="" measureGroup="EMERALD_PROPERTIES" count="0"/>
    <cacheHierarchy uniqueName="[Measures].[__XL_Count EMERALD_PROPERTIES]" caption="__XL_Count EMERALD_PROPERTIES" measure="1" displayFolder="" measureGroup="EMERALD_PROPERTI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692283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CB89D8-D40C-4B56-BAA0-7AF7C9096582}" name="PivotTable15" cacheId="2" dataOnRows="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7" firstHeaderRow="1" firstDataRow="1" firstDataCol="1"/>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4">
    <i>
      <x/>
    </i>
    <i i="1">
      <x v="1"/>
    </i>
    <i i="2">
      <x v="2"/>
    </i>
    <i i="3">
      <x v="3"/>
    </i>
  </rowItems>
  <colItems count="1">
    <i/>
  </colItems>
  <dataFields count="4">
    <dataField fld="0" subtotal="count" baseField="0" baseItem="0"/>
    <dataField fld="1" subtotal="count" baseField="0" baseItem="0"/>
    <dataField fld="2" subtotal="count" baseField="0" baseItem="0"/>
    <dataField fld="3" subtotal="count" baseField="0" baseItem="0"/>
  </dataFields>
  <pivotHierarchies count="15">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erald PP Ub.xlsx!EMERALD_PROPERTIES">
        <x15:activeTabTopLevelEntity name="[EMERALD_PROPERT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F49FC0-A38C-4F61-A843-CBF706287D22}" name="PivotTable4" cacheId="7" dataOnRows="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C3:D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5">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erald PP Ub.xlsx!EMERALD_PROPERTIES">
        <x15:activeTabTopLevelEntity name="[EMERALD_PROPERT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14A508-20A1-42CE-8A4A-D13337D844B3}" name="PivotTable16"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B3:C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Client 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s>
  <pivotHierarchies count="15">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erald PP Ub.xlsx!EMERALD_PROPERTIES">
        <x15:activeTabTopLevelEntity name="[EMERALD_PROPERT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F71682-661C-4229-800E-BC77458EE67E}" name="PivotTable17"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C4:D11"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Count of Client 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5">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erald PP Ub.xlsx!EMERALD_PROPERTIES">
        <x15:activeTabTopLevelEntity name="[EMERALD_PROPERT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9EC58C-B8C5-485C-8C10-5ACD2DC4FDD0}" name="PivotTable18"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C5:D10"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Client 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5">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erald PP Ub.xlsx!EMERALD_PROPERTIES">
        <x15:activeTabTopLevelEntity name="[EMERALD_PROPERT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0ED025-2A12-4690-A518-35F982670698}" name="PivotTable19" cacheId="0" applyNumberFormats="0" applyBorderFormats="0" applyFontFormats="0" applyPatternFormats="0" applyAlignmentFormats="0" applyWidthHeightFormats="1" dataCaption="Values" updatedVersion="7" minRefreshableVersion="3" useAutoFormatting="1" subtotalHiddenItems="1" rowGrandTotals="0" itemPrintTitles="1" createdVersion="7" indent="0" outline="1" outlineData="1" multipleFieldFilters="0">
  <location ref="C5:D7"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2">
    <i>
      <x/>
    </i>
    <i>
      <x v="1"/>
    </i>
  </rowItems>
  <colItems count="1">
    <i/>
  </colItems>
  <dataFields count="1">
    <dataField fld="1" subtotal="count" baseField="0" baseItem="0"/>
  </dataFields>
  <pivotHierarchies count="15">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erald PP Ub.xlsx!EMERALD_PROPERTIES">
        <x15:activeTabTopLevelEntity name="[EMERALD_PROPERT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E528E68-8B77-4490-87CB-1654894777AF}" name="PivotTable20"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C4:D8"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Client ID"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 count="1" selected="0">
            <x v="0"/>
          </reference>
        </references>
      </pivotArea>
    </chartFormat>
    <chartFormat chart="2" format="10">
      <pivotArea type="data" outline="0" fieldPosition="0">
        <references count="2">
          <reference field="4294967294" count="1" selected="0">
            <x v="0"/>
          </reference>
          <reference field="1" count="1" selected="0">
            <x v="1"/>
          </reference>
        </references>
      </pivotArea>
    </chartFormat>
    <chartFormat chart="2" format="11">
      <pivotArea type="data" outline="0" fieldPosition="0">
        <references count="2">
          <reference field="4294967294" count="1" selected="0">
            <x v="0"/>
          </reference>
          <reference field="1" count="1" selected="0">
            <x v="2"/>
          </reference>
        </references>
      </pivotArea>
    </chartFormat>
  </chartFormats>
  <pivotHierarchies count="15">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erald PP Ub.xlsx!EMERALD_PROPERTIES">
        <x15:activeTabTopLevelEntity name="[EMERALD_PROPERT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6331923-56E7-44CA-B67E-D93EB1CEE3AF}" name="PivotTable21"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C4:D7"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Client ID" fld="0"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1" count="1" selected="0">
            <x v="0"/>
          </reference>
        </references>
      </pivotArea>
    </chartFormat>
    <chartFormat chart="1" format="5">
      <pivotArea type="data" outline="0" fieldPosition="0">
        <references count="2">
          <reference field="4294967294" count="1" selected="0">
            <x v="0"/>
          </reference>
          <reference field="1"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s>
  <pivotHierarchies count="15">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erald PP Ub.xlsx!EMERALD_PROPERTIES">
        <x15:activeTabTopLevelEntity name="[EMERALD_PROPERTI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219546C-B0F6-491E-887F-D90359135A22}" autoFormatId="16" applyNumberFormats="0" applyBorderFormats="0" applyFontFormats="0" applyPatternFormats="0" applyAlignmentFormats="0" applyWidthHeightFormats="0">
  <queryTableRefresh nextId="10">
    <queryTableFields count="8">
      <queryTableField id="1" name="Client ID" tableColumnId="1"/>
      <queryTableField id="2" name="Gender" tableColumnId="2"/>
      <queryTableField id="3" name="Sales Rep." tableColumnId="3"/>
      <queryTableField id="4" name="Date" tableColumnId="4"/>
      <queryTableField id="5" name="Sales Status" tableColumnId="5"/>
      <queryTableField id="6" name="State       " tableColumnId="6"/>
      <queryTableField id="7" name="Property Type" tableColumnId="7"/>
      <queryTableField id="9" name="Inspection Status"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perty_Type" xr10:uid="{77C42275-F3F2-4751-A163-60D4B34DA50E}" sourceName="[EMERALD_PROPERTIES].[Property Type]">
  <pivotTables>
    <pivotTable tabId="3" name="PivotTable15"/>
    <pivotTable tabId="1" name="PivotTable16"/>
    <pivotTable tabId="8" name="PivotTable21"/>
    <pivotTable tabId="4" name="PivotTable17"/>
    <pivotTable tabId="5" name="PivotTable18"/>
    <pivotTable tabId="13" name="PivotTable4"/>
  </pivotTables>
  <data>
    <olap pivotCacheId="66922831">
      <levels count="2">
        <level uniqueName="[EMERALD_PROPERTIES].[Property Type].[(All)]" sourceCaption="(All)" count="0"/>
        <level uniqueName="[EMERALD_PROPERTIES].[Property Type].[Property Type]" sourceCaption="Property Type" count="3">
          <ranges>
            <range startItem="0">
              <i n="[EMERALD_PROPERTIES].[Property Type].&amp;[Commercial]" c="Commercial"/>
              <i n="[EMERALD_PROPERTIES].[Property Type].&amp;[Industrial]" c="Industrial"/>
              <i n="[EMERALD_PROPERTIES].[Property Type].&amp;[Residential]" c="Residential"/>
            </range>
          </ranges>
        </level>
      </levels>
      <selections count="1">
        <selection n="[EMERALD_PROPERTIES].[Property 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B500D0B0-97A8-4F65-BFB4-A4DBE653DB2C}" sourceName="[EMERALD_PROPERTIES].[State]">
  <pivotTables>
    <pivotTable tabId="7" name="PivotTable20"/>
    <pivotTable tabId="3" name="PivotTable15"/>
    <pivotTable tabId="1" name="PivotTable16"/>
    <pivotTable tabId="8" name="PivotTable21"/>
    <pivotTable tabId="4" name="PivotTable17"/>
    <pivotTable tabId="5" name="PivotTable18"/>
  </pivotTables>
  <data>
    <olap pivotCacheId="66922831">
      <levels count="2">
        <level uniqueName="[EMERALD_PROPERTIES].[State].[(All)]" sourceCaption="(All)" count="0"/>
        <level uniqueName="[EMERALD_PROPERTIES].[State].[State]" sourceCaption="State" count="2">
          <ranges>
            <range startItem="0">
              <i n="[EMERALD_PROPERTIES].[State].&amp;[Lagos]" c="Lagos"/>
              <i n="[EMERALD_PROPERTIES].[State].&amp;[Rivers]" c="Rivers"/>
            </range>
          </ranges>
        </level>
      </levels>
      <selections count="1">
        <selection n="[EMERALD_PROPERTIES].[Stat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pection_Status" xr10:uid="{CD366CF1-F7EC-4C71-99FE-03DC66DF414F}" sourceName="[EMERALD_PROPERTIES].[Inspection Status]">
  <pivotTables>
    <pivotTable tabId="3" name="PivotTable15"/>
    <pivotTable tabId="1" name="PivotTable16"/>
    <pivotTable tabId="7" name="PivotTable20"/>
    <pivotTable tabId="4" name="PivotTable17"/>
    <pivotTable tabId="5" name="PivotTable18"/>
    <pivotTable tabId="13" name="PivotTable4"/>
  </pivotTables>
  <data>
    <olap pivotCacheId="66922831">
      <levels count="2">
        <level uniqueName="[EMERALD_PROPERTIES].[Inspection Status].[(All)]" sourceCaption="(All)" count="0"/>
        <level uniqueName="[EMERALD_PROPERTIES].[Inspection Status].[Inspection Status]" sourceCaption="Inspection Status" count="2">
          <ranges>
            <range startItem="0">
              <i n="[EMERALD_PROPERTIES].[Inspection Status].&amp;[No]" c="No"/>
              <i n="[EMERALD_PROPERTIES].[Inspection Status].&amp;[Yes]" c="Yes"/>
            </range>
          </ranges>
        </level>
      </levels>
      <selections count="1">
        <selection n="[EMERALD_PROPERTIES].[Inspection Statu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Status" xr10:uid="{69331361-39FC-4F22-9DBB-22672B113BA6}" sourceName="[EMERALD_PROPERTIES].[Sales Status]">
  <pivotTables>
    <pivotTable tabId="3" name="PivotTable15"/>
    <pivotTable tabId="1" name="PivotTable16"/>
    <pivotTable tabId="8" name="PivotTable21"/>
    <pivotTable tabId="7" name="PivotTable20"/>
    <pivotTable tabId="4" name="PivotTable17"/>
    <pivotTable tabId="13" name="PivotTable4"/>
  </pivotTables>
  <data>
    <olap pivotCacheId="66922831">
      <levels count="2">
        <level uniqueName="[EMERALD_PROPERTIES].[Sales Status].[(All)]" sourceCaption="(All)" count="0"/>
        <level uniqueName="[EMERALD_PROPERTIES].[Sales Status].[Sales Status]" sourceCaption="Sales Status" count="4">
          <ranges>
            <range startItem="0">
              <i n="[EMERALD_PROPERTIES].[Sales Status].&amp;[Next Time]" c="Next Time"/>
              <i n="[EMERALD_PROPERTIES].[Sales Status].&amp;[Not Interested]" c="Not Interested"/>
              <i n="[EMERALD_PROPERTIES].[Sales Status].&amp;[Paid]" c="Paid"/>
              <i n="[EMERALD_PROPERTIES].[Sales Status].&amp;[Too Expensive]" c="Too Expensive"/>
            </range>
          </ranges>
        </level>
      </levels>
      <selections count="1">
        <selection n="[EMERALD_PROPERTIES].[Sales 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perty Type" xr10:uid="{B7BD967E-F4D2-4FB9-B20C-127B70968FBA}" cache="Slicer_Property_Type" caption="Property Type" columnCount="3" showCaption="0" level="1" style="Slicer Style 4" rowHeight="241300"/>
  <slicer name="State" xr10:uid="{723C6BA4-5BF0-4491-9004-3148491BCA6E}" cache="Slicer_State" caption="State" showCaption="0" level="1" style="Slicer Style 3" rowHeight="241300"/>
  <slicer name="Inspection Status" xr10:uid="{2D16544C-6EE4-4DB4-8EFE-2CD7AE9B0AA7}" cache="Slicer_Inspection_Status" caption="Inspection Status" showCaption="0" level="1" style="Slicer Style 3" rowHeight="241300"/>
  <slicer name="Sales Status" xr10:uid="{583B8742-3D1D-4C68-AFD3-BEA7F911F0B8}" cache="Slicer_Sales_Status" caption="Sales Status" showCaption="0" level="1" style="Slicer Style 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CC0D91-0E12-4149-9AAC-0C3DFAF02773}" name="EMERALD_PROPERTIES" displayName="EMERALD_PROPERTIES" ref="A1:H226" tableType="queryTable" totalsRowShown="0">
  <autoFilter ref="A1:H226" xr:uid="{FACC0D91-0E12-4149-9AAC-0C3DFAF02773}"/>
  <tableColumns count="8">
    <tableColumn id="1" xr3:uid="{9FF13723-3173-419B-BADB-F5F18920B4A4}" uniqueName="1" name="Client ID" queryTableFieldId="1" dataDxfId="7"/>
    <tableColumn id="2" xr3:uid="{48B87C83-73A2-4D48-8EFE-D2848CA40027}" uniqueName="2" name="Gender" queryTableFieldId="2" dataDxfId="6"/>
    <tableColumn id="3" xr3:uid="{D4288B8C-1894-44A7-8FB3-311A926E50F8}" uniqueName="3" name="Sales Rep." queryTableFieldId="3" dataDxfId="5"/>
    <tableColumn id="4" xr3:uid="{60F34C5E-BB78-46D4-8E7A-07BEDE123B83}" uniqueName="4" name="Date" queryTableFieldId="4" dataDxfId="4"/>
    <tableColumn id="5" xr3:uid="{80B31B19-BD27-446A-AC80-4E63D3EC73EC}" uniqueName="5" name="Sales Status" queryTableFieldId="5" dataDxfId="3"/>
    <tableColumn id="6" xr3:uid="{6A354592-9263-4440-BF2A-CC63BB325727}" uniqueName="6" name="State       " queryTableFieldId="6" dataDxfId="2"/>
    <tableColumn id="7" xr3:uid="{CF096962-48CF-4719-B13E-A13FC90D0472}" uniqueName="7" name="Property Type" queryTableFieldId="7" dataDxfId="1"/>
    <tableColumn id="8" xr3:uid="{6C696CCC-EE21-4B34-982C-2E18D5AEADD5}" uniqueName="8" name="Inspection Status" queryTableFieldId="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C223E-9555-4874-853C-A9DFA26E3EEC}">
  <dimension ref="A3:F10"/>
  <sheetViews>
    <sheetView workbookViewId="0">
      <selection activeCell="F11" sqref="F11"/>
    </sheetView>
  </sheetViews>
  <sheetFormatPr defaultRowHeight="15" x14ac:dyDescent="0.25"/>
  <cols>
    <col min="1" max="1" width="15.85546875" bestFit="1" customWidth="1"/>
    <col min="2" max="2" width="7.140625" bestFit="1" customWidth="1"/>
    <col min="6" max="6" width="11.28515625" bestFit="1" customWidth="1"/>
  </cols>
  <sheetData>
    <row r="3" spans="1:6" x14ac:dyDescent="0.25">
      <c r="A3" s="2" t="s">
        <v>258</v>
      </c>
    </row>
    <row r="4" spans="1:6" x14ac:dyDescent="0.25">
      <c r="A4" s="3" t="s">
        <v>255</v>
      </c>
      <c r="B4">
        <v>225</v>
      </c>
      <c r="E4">
        <f>GETPIVOTDATA("[Measures].[Total Leads]",$A$3)</f>
        <v>225</v>
      </c>
    </row>
    <row r="5" spans="1:6" x14ac:dyDescent="0.25">
      <c r="A5" s="3" t="s">
        <v>256</v>
      </c>
      <c r="B5" s="4">
        <v>100</v>
      </c>
    </row>
    <row r="6" spans="1:6" x14ac:dyDescent="0.25">
      <c r="A6" s="3" t="s">
        <v>257</v>
      </c>
      <c r="B6" s="5">
        <v>0.44444444444444442</v>
      </c>
      <c r="E6" s="6">
        <f>GETPIVOTDATA("[Measures].[Conversion Rate]",$A$3)</f>
        <v>0.44444444444444442</v>
      </c>
    </row>
    <row r="7" spans="1:6" x14ac:dyDescent="0.25">
      <c r="A7" s="3" t="s">
        <v>259</v>
      </c>
      <c r="B7" s="5">
        <v>0.55555555555555558</v>
      </c>
      <c r="E7" s="6">
        <f>GETPIVOTDATA("[Measures].[Potential Clients]",$A$3)</f>
        <v>0.55555555555555558</v>
      </c>
    </row>
    <row r="10" spans="1:6" x14ac:dyDescent="0.25">
      <c r="F10" s="7">
        <f ca="1">TODAY()</f>
        <v>46237</v>
      </c>
    </row>
  </sheetData>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7E5EB-9CB9-4845-B3DA-6A663AF4F011}">
  <dimension ref="C3:D6"/>
  <sheetViews>
    <sheetView workbookViewId="0">
      <selection activeCell="D5" sqref="D5"/>
    </sheetView>
  </sheetViews>
  <sheetFormatPr defaultRowHeight="15" x14ac:dyDescent="0.25"/>
  <cols>
    <col min="3" max="3" width="13.140625" bestFit="1" customWidth="1"/>
    <col min="4" max="4" width="10.85546875" bestFit="1" customWidth="1"/>
  </cols>
  <sheetData>
    <row r="3" spans="3:4" x14ac:dyDescent="0.25">
      <c r="C3" s="2" t="s">
        <v>252</v>
      </c>
      <c r="D3" t="s">
        <v>255</v>
      </c>
    </row>
    <row r="4" spans="3:4" x14ac:dyDescent="0.25">
      <c r="C4" s="3" t="s">
        <v>11</v>
      </c>
      <c r="D4">
        <v>132</v>
      </c>
    </row>
    <row r="5" spans="3:4" x14ac:dyDescent="0.25">
      <c r="C5" s="3" t="s">
        <v>23</v>
      </c>
      <c r="D5">
        <v>93</v>
      </c>
    </row>
    <row r="6" spans="3:4" x14ac:dyDescent="0.25">
      <c r="C6" s="3" t="s">
        <v>253</v>
      </c>
      <c r="D6">
        <v>225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5D757-6C08-490C-B879-6908EC169F9C}">
  <dimension ref="A1:H226"/>
  <sheetViews>
    <sheetView workbookViewId="0">
      <selection activeCell="K7" sqref="K7"/>
    </sheetView>
  </sheetViews>
  <sheetFormatPr defaultRowHeight="15" x14ac:dyDescent="0.25"/>
  <cols>
    <col min="1" max="1" width="10.85546875" bestFit="1" customWidth="1"/>
    <col min="2" max="2" width="10" bestFit="1" customWidth="1"/>
    <col min="3" max="3" width="12.28515625" bestFit="1" customWidth="1"/>
    <col min="4" max="4" width="8.42578125" bestFit="1" customWidth="1"/>
    <col min="5" max="5" width="14.140625" bestFit="1" customWidth="1"/>
    <col min="6" max="6" width="10.85546875" bestFit="1" customWidth="1"/>
    <col min="7" max="7" width="15.85546875" bestFit="1" customWidth="1"/>
    <col min="8" max="8" width="18.5703125" bestFit="1" customWidth="1"/>
    <col min="9" max="9" width="12.5703125" bestFit="1" customWidth="1"/>
  </cols>
  <sheetData>
    <row r="1" spans="1:8" x14ac:dyDescent="0.25">
      <c r="A1" t="s">
        <v>0</v>
      </c>
      <c r="B1" t="s">
        <v>1</v>
      </c>
      <c r="C1" t="s">
        <v>2</v>
      </c>
      <c r="D1" t="s">
        <v>3</v>
      </c>
      <c r="E1" t="s">
        <v>4</v>
      </c>
      <c r="F1" t="s">
        <v>5</v>
      </c>
      <c r="G1" t="s">
        <v>6</v>
      </c>
      <c r="H1" t="s">
        <v>254</v>
      </c>
    </row>
    <row r="2" spans="1:8" x14ac:dyDescent="0.25">
      <c r="A2" t="s">
        <v>7</v>
      </c>
      <c r="B2" t="s">
        <v>8</v>
      </c>
      <c r="C2" t="s">
        <v>9</v>
      </c>
      <c r="D2" s="1">
        <v>45139</v>
      </c>
      <c r="E2" t="s">
        <v>10</v>
      </c>
      <c r="F2" t="s">
        <v>11</v>
      </c>
      <c r="G2" t="s">
        <v>12</v>
      </c>
      <c r="H2" t="s">
        <v>13</v>
      </c>
    </row>
    <row r="3" spans="1:8" x14ac:dyDescent="0.25">
      <c r="A3" t="s">
        <v>14</v>
      </c>
      <c r="B3" t="s">
        <v>15</v>
      </c>
      <c r="C3" t="s">
        <v>16</v>
      </c>
      <c r="D3" s="1">
        <v>45140</v>
      </c>
      <c r="E3" t="s">
        <v>17</v>
      </c>
      <c r="F3" t="s">
        <v>11</v>
      </c>
      <c r="G3" t="s">
        <v>18</v>
      </c>
      <c r="H3" t="s">
        <v>19</v>
      </c>
    </row>
    <row r="4" spans="1:8" x14ac:dyDescent="0.25">
      <c r="A4" t="s">
        <v>20</v>
      </c>
      <c r="B4" t="s">
        <v>8</v>
      </c>
      <c r="C4" t="s">
        <v>21</v>
      </c>
      <c r="D4" s="1">
        <v>45141</v>
      </c>
      <c r="E4" t="s">
        <v>22</v>
      </c>
      <c r="F4" t="s">
        <v>23</v>
      </c>
      <c r="G4" t="s">
        <v>18</v>
      </c>
      <c r="H4" t="s">
        <v>13</v>
      </c>
    </row>
    <row r="5" spans="1:8" x14ac:dyDescent="0.25">
      <c r="A5" t="s">
        <v>24</v>
      </c>
      <c r="B5" t="s">
        <v>8</v>
      </c>
      <c r="C5" t="s">
        <v>25</v>
      </c>
      <c r="D5" s="1">
        <v>45142</v>
      </c>
      <c r="E5" t="s">
        <v>26</v>
      </c>
      <c r="F5" t="s">
        <v>23</v>
      </c>
      <c r="G5" t="s">
        <v>12</v>
      </c>
      <c r="H5" t="s">
        <v>13</v>
      </c>
    </row>
    <row r="6" spans="1:8" x14ac:dyDescent="0.25">
      <c r="A6" t="s">
        <v>27</v>
      </c>
      <c r="B6" t="s">
        <v>15</v>
      </c>
      <c r="C6" t="s">
        <v>28</v>
      </c>
      <c r="D6" s="1">
        <v>45143</v>
      </c>
      <c r="E6" t="s">
        <v>10</v>
      </c>
      <c r="F6" t="s">
        <v>11</v>
      </c>
      <c r="G6" t="s">
        <v>12</v>
      </c>
      <c r="H6" t="s">
        <v>13</v>
      </c>
    </row>
    <row r="7" spans="1:8" x14ac:dyDescent="0.25">
      <c r="A7" t="s">
        <v>29</v>
      </c>
      <c r="B7" t="s">
        <v>8</v>
      </c>
      <c r="C7" t="s">
        <v>30</v>
      </c>
      <c r="D7" s="1">
        <v>45144</v>
      </c>
      <c r="E7" t="s">
        <v>22</v>
      </c>
      <c r="F7" t="s">
        <v>11</v>
      </c>
      <c r="G7" t="s">
        <v>18</v>
      </c>
      <c r="H7" t="s">
        <v>19</v>
      </c>
    </row>
    <row r="8" spans="1:8" x14ac:dyDescent="0.25">
      <c r="A8" t="s">
        <v>31</v>
      </c>
      <c r="B8" t="s">
        <v>8</v>
      </c>
      <c r="C8" t="s">
        <v>9</v>
      </c>
      <c r="D8" s="1">
        <v>45145</v>
      </c>
      <c r="E8" t="s">
        <v>26</v>
      </c>
      <c r="F8" t="s">
        <v>23</v>
      </c>
      <c r="G8" t="s">
        <v>18</v>
      </c>
      <c r="H8" t="s">
        <v>13</v>
      </c>
    </row>
    <row r="9" spans="1:8" x14ac:dyDescent="0.25">
      <c r="A9" t="s">
        <v>32</v>
      </c>
      <c r="B9" t="s">
        <v>15</v>
      </c>
      <c r="C9" t="s">
        <v>16</v>
      </c>
      <c r="D9" s="1">
        <v>45146</v>
      </c>
      <c r="E9" t="s">
        <v>10</v>
      </c>
      <c r="F9" t="s">
        <v>11</v>
      </c>
      <c r="G9" t="s">
        <v>12</v>
      </c>
      <c r="H9" t="s">
        <v>13</v>
      </c>
    </row>
    <row r="10" spans="1:8" x14ac:dyDescent="0.25">
      <c r="A10" t="s">
        <v>33</v>
      </c>
      <c r="B10" t="s">
        <v>8</v>
      </c>
      <c r="C10" t="s">
        <v>21</v>
      </c>
      <c r="D10" s="1">
        <v>45147</v>
      </c>
      <c r="E10" t="s">
        <v>17</v>
      </c>
      <c r="F10" t="s">
        <v>11</v>
      </c>
      <c r="G10" t="s">
        <v>34</v>
      </c>
      <c r="H10" t="s">
        <v>19</v>
      </c>
    </row>
    <row r="11" spans="1:8" x14ac:dyDescent="0.25">
      <c r="A11" t="s">
        <v>35</v>
      </c>
      <c r="B11" t="s">
        <v>15</v>
      </c>
      <c r="C11" t="s">
        <v>25</v>
      </c>
      <c r="D11" s="1">
        <v>45148</v>
      </c>
      <c r="E11" t="s">
        <v>10</v>
      </c>
      <c r="F11" t="s">
        <v>23</v>
      </c>
      <c r="G11" t="s">
        <v>18</v>
      </c>
      <c r="H11" t="s">
        <v>13</v>
      </c>
    </row>
    <row r="12" spans="1:8" x14ac:dyDescent="0.25">
      <c r="A12" t="s">
        <v>36</v>
      </c>
      <c r="B12" t="s">
        <v>8</v>
      </c>
      <c r="C12" t="s">
        <v>28</v>
      </c>
      <c r="D12" s="1">
        <v>45149</v>
      </c>
      <c r="E12" t="s">
        <v>22</v>
      </c>
      <c r="F12" t="s">
        <v>11</v>
      </c>
      <c r="G12" t="s">
        <v>18</v>
      </c>
      <c r="H12" t="s">
        <v>13</v>
      </c>
    </row>
    <row r="13" spans="1:8" x14ac:dyDescent="0.25">
      <c r="A13" t="s">
        <v>37</v>
      </c>
      <c r="B13" t="s">
        <v>15</v>
      </c>
      <c r="C13" t="s">
        <v>30</v>
      </c>
      <c r="D13" s="1">
        <v>45150</v>
      </c>
      <c r="E13" t="s">
        <v>10</v>
      </c>
      <c r="F13" t="s">
        <v>11</v>
      </c>
      <c r="G13" t="s">
        <v>12</v>
      </c>
      <c r="H13" t="s">
        <v>13</v>
      </c>
    </row>
    <row r="14" spans="1:8" x14ac:dyDescent="0.25">
      <c r="A14" t="s">
        <v>38</v>
      </c>
      <c r="B14" t="s">
        <v>8</v>
      </c>
      <c r="C14" t="s">
        <v>9</v>
      </c>
      <c r="D14" s="1">
        <v>45151</v>
      </c>
      <c r="E14" t="s">
        <v>26</v>
      </c>
      <c r="F14" t="s">
        <v>23</v>
      </c>
      <c r="G14" t="s">
        <v>18</v>
      </c>
      <c r="H14" t="s">
        <v>13</v>
      </c>
    </row>
    <row r="15" spans="1:8" x14ac:dyDescent="0.25">
      <c r="A15" t="s">
        <v>39</v>
      </c>
      <c r="B15" t="s">
        <v>15</v>
      </c>
      <c r="C15" t="s">
        <v>25</v>
      </c>
      <c r="D15" s="1">
        <v>45152</v>
      </c>
      <c r="E15" t="s">
        <v>10</v>
      </c>
      <c r="F15" t="s">
        <v>11</v>
      </c>
      <c r="G15" t="s">
        <v>12</v>
      </c>
      <c r="H15" t="s">
        <v>13</v>
      </c>
    </row>
    <row r="16" spans="1:8" x14ac:dyDescent="0.25">
      <c r="A16" t="s">
        <v>40</v>
      </c>
      <c r="B16" t="s">
        <v>8</v>
      </c>
      <c r="C16" t="s">
        <v>28</v>
      </c>
      <c r="D16" s="1">
        <v>45153</v>
      </c>
      <c r="E16" t="s">
        <v>22</v>
      </c>
      <c r="F16" t="s">
        <v>23</v>
      </c>
      <c r="G16" t="s">
        <v>12</v>
      </c>
      <c r="H16" t="s">
        <v>19</v>
      </c>
    </row>
    <row r="17" spans="1:8" x14ac:dyDescent="0.25">
      <c r="A17" t="s">
        <v>41</v>
      </c>
      <c r="B17" t="s">
        <v>15</v>
      </c>
      <c r="C17" t="s">
        <v>30</v>
      </c>
      <c r="D17" s="1">
        <v>45154</v>
      </c>
      <c r="E17" t="s">
        <v>17</v>
      </c>
      <c r="F17" t="s">
        <v>11</v>
      </c>
      <c r="G17" t="s">
        <v>34</v>
      </c>
      <c r="H17" t="s">
        <v>19</v>
      </c>
    </row>
    <row r="18" spans="1:8" x14ac:dyDescent="0.25">
      <c r="A18" t="s">
        <v>42</v>
      </c>
      <c r="B18" t="s">
        <v>8</v>
      </c>
      <c r="C18" t="s">
        <v>16</v>
      </c>
      <c r="D18" s="1">
        <v>45155</v>
      </c>
      <c r="E18" t="s">
        <v>10</v>
      </c>
      <c r="F18" t="s">
        <v>23</v>
      </c>
      <c r="G18" t="s">
        <v>18</v>
      </c>
      <c r="H18" t="s">
        <v>13</v>
      </c>
    </row>
    <row r="19" spans="1:8" x14ac:dyDescent="0.25">
      <c r="A19" t="s">
        <v>43</v>
      </c>
      <c r="B19" t="s">
        <v>8</v>
      </c>
      <c r="C19" t="s">
        <v>21</v>
      </c>
      <c r="D19" s="1">
        <v>45156</v>
      </c>
      <c r="E19" t="s">
        <v>22</v>
      </c>
      <c r="F19" t="s">
        <v>11</v>
      </c>
      <c r="G19" t="s">
        <v>18</v>
      </c>
      <c r="H19" t="s">
        <v>13</v>
      </c>
    </row>
    <row r="20" spans="1:8" x14ac:dyDescent="0.25">
      <c r="A20" t="s">
        <v>44</v>
      </c>
      <c r="B20" t="s">
        <v>15</v>
      </c>
      <c r="C20" t="s">
        <v>25</v>
      </c>
      <c r="D20" s="1">
        <v>45157</v>
      </c>
      <c r="E20" t="s">
        <v>10</v>
      </c>
      <c r="F20" t="s">
        <v>11</v>
      </c>
      <c r="G20" t="s">
        <v>12</v>
      </c>
      <c r="H20" t="s">
        <v>13</v>
      </c>
    </row>
    <row r="21" spans="1:8" x14ac:dyDescent="0.25">
      <c r="A21" t="s">
        <v>45</v>
      </c>
      <c r="B21" t="s">
        <v>8</v>
      </c>
      <c r="C21" t="s">
        <v>28</v>
      </c>
      <c r="D21" s="1">
        <v>45158</v>
      </c>
      <c r="E21" t="s">
        <v>22</v>
      </c>
      <c r="F21" t="s">
        <v>23</v>
      </c>
      <c r="G21" t="s">
        <v>18</v>
      </c>
      <c r="H21" t="s">
        <v>13</v>
      </c>
    </row>
    <row r="22" spans="1:8" x14ac:dyDescent="0.25">
      <c r="A22" t="s">
        <v>46</v>
      </c>
      <c r="B22" t="s">
        <v>15</v>
      </c>
      <c r="C22" t="s">
        <v>30</v>
      </c>
      <c r="D22" s="1">
        <v>45143</v>
      </c>
      <c r="E22" t="s">
        <v>10</v>
      </c>
      <c r="F22" t="s">
        <v>11</v>
      </c>
      <c r="G22" t="s">
        <v>12</v>
      </c>
      <c r="H22" t="s">
        <v>13</v>
      </c>
    </row>
    <row r="23" spans="1:8" x14ac:dyDescent="0.25">
      <c r="A23" t="s">
        <v>47</v>
      </c>
      <c r="B23" t="s">
        <v>8</v>
      </c>
      <c r="C23" t="s">
        <v>9</v>
      </c>
      <c r="D23" s="1">
        <v>45146</v>
      </c>
      <c r="E23" t="s">
        <v>17</v>
      </c>
      <c r="F23" t="s">
        <v>23</v>
      </c>
      <c r="G23" t="s">
        <v>18</v>
      </c>
      <c r="H23" t="s">
        <v>19</v>
      </c>
    </row>
    <row r="24" spans="1:8" x14ac:dyDescent="0.25">
      <c r="A24" t="s">
        <v>48</v>
      </c>
      <c r="B24" t="s">
        <v>15</v>
      </c>
      <c r="C24" t="s">
        <v>16</v>
      </c>
      <c r="D24" s="1">
        <v>45150</v>
      </c>
      <c r="E24" t="s">
        <v>22</v>
      </c>
      <c r="F24" t="s">
        <v>11</v>
      </c>
      <c r="G24" t="s">
        <v>12</v>
      </c>
      <c r="H24" t="s">
        <v>13</v>
      </c>
    </row>
    <row r="25" spans="1:8" x14ac:dyDescent="0.25">
      <c r="A25" t="s">
        <v>49</v>
      </c>
      <c r="B25" t="s">
        <v>8</v>
      </c>
      <c r="C25" t="s">
        <v>21</v>
      </c>
      <c r="D25" s="1">
        <v>45153</v>
      </c>
      <c r="E25" t="s">
        <v>10</v>
      </c>
      <c r="F25" t="s">
        <v>23</v>
      </c>
      <c r="G25" t="s">
        <v>18</v>
      </c>
      <c r="H25" t="s">
        <v>13</v>
      </c>
    </row>
    <row r="26" spans="1:8" x14ac:dyDescent="0.25">
      <c r="A26" t="s">
        <v>50</v>
      </c>
      <c r="B26" t="s">
        <v>8</v>
      </c>
      <c r="C26" t="s">
        <v>25</v>
      </c>
      <c r="D26" s="1">
        <v>45156</v>
      </c>
      <c r="E26" t="s">
        <v>26</v>
      </c>
      <c r="F26" t="s">
        <v>23</v>
      </c>
      <c r="G26" t="s">
        <v>12</v>
      </c>
      <c r="H26" t="s">
        <v>13</v>
      </c>
    </row>
    <row r="27" spans="1:8" x14ac:dyDescent="0.25">
      <c r="A27" t="s">
        <v>51</v>
      </c>
      <c r="B27" t="s">
        <v>15</v>
      </c>
      <c r="C27" t="s">
        <v>28</v>
      </c>
      <c r="D27" s="1">
        <v>45160</v>
      </c>
      <c r="E27" t="s">
        <v>10</v>
      </c>
      <c r="F27" t="s">
        <v>11</v>
      </c>
      <c r="G27" t="s">
        <v>12</v>
      </c>
      <c r="H27" t="s">
        <v>13</v>
      </c>
    </row>
    <row r="28" spans="1:8" x14ac:dyDescent="0.25">
      <c r="A28" t="s">
        <v>52</v>
      </c>
      <c r="B28" t="s">
        <v>8</v>
      </c>
      <c r="C28" t="s">
        <v>30</v>
      </c>
      <c r="D28" s="1">
        <v>45164</v>
      </c>
      <c r="E28" t="s">
        <v>22</v>
      </c>
      <c r="F28" t="s">
        <v>11</v>
      </c>
      <c r="G28" t="s">
        <v>18</v>
      </c>
      <c r="H28" t="s">
        <v>19</v>
      </c>
    </row>
    <row r="29" spans="1:8" x14ac:dyDescent="0.25">
      <c r="A29" t="s">
        <v>53</v>
      </c>
      <c r="B29" t="s">
        <v>8</v>
      </c>
      <c r="C29" t="s">
        <v>9</v>
      </c>
      <c r="D29" s="1">
        <v>45139</v>
      </c>
      <c r="E29" t="s">
        <v>26</v>
      </c>
      <c r="F29" t="s">
        <v>23</v>
      </c>
      <c r="G29" t="s">
        <v>18</v>
      </c>
      <c r="H29" t="s">
        <v>13</v>
      </c>
    </row>
    <row r="30" spans="1:8" x14ac:dyDescent="0.25">
      <c r="A30" t="s">
        <v>54</v>
      </c>
      <c r="B30" t="s">
        <v>15</v>
      </c>
      <c r="C30" t="s">
        <v>16</v>
      </c>
      <c r="D30" s="1">
        <v>45142</v>
      </c>
      <c r="E30" t="s">
        <v>10</v>
      </c>
      <c r="F30" t="s">
        <v>11</v>
      </c>
      <c r="G30" t="s">
        <v>12</v>
      </c>
      <c r="H30" t="s">
        <v>13</v>
      </c>
    </row>
    <row r="31" spans="1:8" x14ac:dyDescent="0.25">
      <c r="A31" t="s">
        <v>55</v>
      </c>
      <c r="B31" t="s">
        <v>8</v>
      </c>
      <c r="C31" t="s">
        <v>21</v>
      </c>
      <c r="D31" s="1">
        <v>45145</v>
      </c>
      <c r="E31" t="s">
        <v>17</v>
      </c>
      <c r="F31" t="s">
        <v>11</v>
      </c>
      <c r="G31" t="s">
        <v>34</v>
      </c>
      <c r="H31" t="s">
        <v>19</v>
      </c>
    </row>
    <row r="32" spans="1:8" x14ac:dyDescent="0.25">
      <c r="A32" t="s">
        <v>56</v>
      </c>
      <c r="B32" t="s">
        <v>15</v>
      </c>
      <c r="C32" t="s">
        <v>25</v>
      </c>
      <c r="D32" s="1">
        <v>45148</v>
      </c>
      <c r="E32" t="s">
        <v>10</v>
      </c>
      <c r="F32" t="s">
        <v>23</v>
      </c>
      <c r="G32" t="s">
        <v>18</v>
      </c>
      <c r="H32" t="s">
        <v>13</v>
      </c>
    </row>
    <row r="33" spans="1:8" x14ac:dyDescent="0.25">
      <c r="A33" t="s">
        <v>57</v>
      </c>
      <c r="B33" t="s">
        <v>8</v>
      </c>
      <c r="C33" t="s">
        <v>28</v>
      </c>
      <c r="D33" s="1">
        <v>45151</v>
      </c>
      <c r="E33" t="s">
        <v>22</v>
      </c>
      <c r="F33" t="s">
        <v>11</v>
      </c>
      <c r="G33" t="s">
        <v>18</v>
      </c>
      <c r="H33" t="s">
        <v>13</v>
      </c>
    </row>
    <row r="34" spans="1:8" x14ac:dyDescent="0.25">
      <c r="A34" t="s">
        <v>58</v>
      </c>
      <c r="B34" t="s">
        <v>15</v>
      </c>
      <c r="C34" t="s">
        <v>30</v>
      </c>
      <c r="D34" s="1">
        <v>45154</v>
      </c>
      <c r="E34" t="s">
        <v>10</v>
      </c>
      <c r="F34" t="s">
        <v>11</v>
      </c>
      <c r="G34" t="s">
        <v>12</v>
      </c>
      <c r="H34" t="s">
        <v>13</v>
      </c>
    </row>
    <row r="35" spans="1:8" x14ac:dyDescent="0.25">
      <c r="A35" t="s">
        <v>59</v>
      </c>
      <c r="B35" t="s">
        <v>8</v>
      </c>
      <c r="C35" t="s">
        <v>9</v>
      </c>
      <c r="D35" s="1">
        <v>45157</v>
      </c>
      <c r="E35" t="s">
        <v>26</v>
      </c>
      <c r="F35" t="s">
        <v>23</v>
      </c>
      <c r="G35" t="s">
        <v>18</v>
      </c>
      <c r="H35" t="s">
        <v>13</v>
      </c>
    </row>
    <row r="36" spans="1:8" x14ac:dyDescent="0.25">
      <c r="A36" t="s">
        <v>60</v>
      </c>
      <c r="B36" t="s">
        <v>15</v>
      </c>
      <c r="C36" t="s">
        <v>25</v>
      </c>
      <c r="D36" s="1">
        <v>45161</v>
      </c>
      <c r="E36" t="s">
        <v>10</v>
      </c>
      <c r="F36" t="s">
        <v>11</v>
      </c>
      <c r="G36" t="s">
        <v>12</v>
      </c>
      <c r="H36" t="s">
        <v>13</v>
      </c>
    </row>
    <row r="37" spans="1:8" x14ac:dyDescent="0.25">
      <c r="A37" t="s">
        <v>61</v>
      </c>
      <c r="B37" t="s">
        <v>8</v>
      </c>
      <c r="C37" t="s">
        <v>28</v>
      </c>
      <c r="D37" s="1">
        <v>45165</v>
      </c>
      <c r="E37" t="s">
        <v>22</v>
      </c>
      <c r="F37" t="s">
        <v>23</v>
      </c>
      <c r="G37" t="s">
        <v>12</v>
      </c>
      <c r="H37" t="s">
        <v>19</v>
      </c>
    </row>
    <row r="38" spans="1:8" x14ac:dyDescent="0.25">
      <c r="A38" t="s">
        <v>62</v>
      </c>
      <c r="B38" t="s">
        <v>15</v>
      </c>
      <c r="C38" t="s">
        <v>30</v>
      </c>
      <c r="D38" s="1">
        <v>45140</v>
      </c>
      <c r="E38" t="s">
        <v>17</v>
      </c>
      <c r="F38" t="s">
        <v>11</v>
      </c>
      <c r="G38" t="s">
        <v>34</v>
      </c>
      <c r="H38" t="s">
        <v>19</v>
      </c>
    </row>
    <row r="39" spans="1:8" x14ac:dyDescent="0.25">
      <c r="A39" t="s">
        <v>63</v>
      </c>
      <c r="B39" t="s">
        <v>8</v>
      </c>
      <c r="C39" t="s">
        <v>16</v>
      </c>
      <c r="D39" s="1">
        <v>45144</v>
      </c>
      <c r="E39" t="s">
        <v>10</v>
      </c>
      <c r="F39" t="s">
        <v>23</v>
      </c>
      <c r="G39" t="s">
        <v>18</v>
      </c>
      <c r="H39" t="s">
        <v>13</v>
      </c>
    </row>
    <row r="40" spans="1:8" x14ac:dyDescent="0.25">
      <c r="A40" t="s">
        <v>64</v>
      </c>
      <c r="B40" t="s">
        <v>8</v>
      </c>
      <c r="C40" t="s">
        <v>21</v>
      </c>
      <c r="D40" s="1">
        <v>45147</v>
      </c>
      <c r="E40" t="s">
        <v>22</v>
      </c>
      <c r="F40" t="s">
        <v>11</v>
      </c>
      <c r="G40" t="s">
        <v>18</v>
      </c>
      <c r="H40" t="s">
        <v>13</v>
      </c>
    </row>
    <row r="41" spans="1:8" x14ac:dyDescent="0.25">
      <c r="A41" t="s">
        <v>65</v>
      </c>
      <c r="B41" t="s">
        <v>15</v>
      </c>
      <c r="C41" t="s">
        <v>25</v>
      </c>
      <c r="D41" s="1">
        <v>45152</v>
      </c>
      <c r="E41" t="s">
        <v>10</v>
      </c>
      <c r="F41" t="s">
        <v>11</v>
      </c>
      <c r="G41" t="s">
        <v>12</v>
      </c>
      <c r="H41" t="s">
        <v>13</v>
      </c>
    </row>
    <row r="42" spans="1:8" x14ac:dyDescent="0.25">
      <c r="A42" t="s">
        <v>66</v>
      </c>
      <c r="B42" t="s">
        <v>15</v>
      </c>
      <c r="C42" t="s">
        <v>30</v>
      </c>
      <c r="D42" s="1">
        <v>45141</v>
      </c>
      <c r="E42" t="s">
        <v>10</v>
      </c>
      <c r="F42" t="s">
        <v>11</v>
      </c>
      <c r="G42" t="s">
        <v>12</v>
      </c>
      <c r="H42" t="s">
        <v>13</v>
      </c>
    </row>
    <row r="43" spans="1:8" x14ac:dyDescent="0.25">
      <c r="A43" t="s">
        <v>67</v>
      </c>
      <c r="B43" t="s">
        <v>8</v>
      </c>
      <c r="C43" t="s">
        <v>9</v>
      </c>
      <c r="D43" s="1">
        <v>45144</v>
      </c>
      <c r="E43" t="s">
        <v>17</v>
      </c>
      <c r="F43" t="s">
        <v>23</v>
      </c>
      <c r="G43" t="s">
        <v>18</v>
      </c>
      <c r="H43" t="s">
        <v>19</v>
      </c>
    </row>
    <row r="44" spans="1:8" x14ac:dyDescent="0.25">
      <c r="A44" t="s">
        <v>68</v>
      </c>
      <c r="B44" t="s">
        <v>15</v>
      </c>
      <c r="C44" t="s">
        <v>16</v>
      </c>
      <c r="D44" s="1">
        <v>45147</v>
      </c>
      <c r="E44" t="s">
        <v>22</v>
      </c>
      <c r="F44" t="s">
        <v>11</v>
      </c>
      <c r="G44" t="s">
        <v>12</v>
      </c>
      <c r="H44" t="s">
        <v>13</v>
      </c>
    </row>
    <row r="45" spans="1:8" x14ac:dyDescent="0.25">
      <c r="A45" t="s">
        <v>69</v>
      </c>
      <c r="B45" t="s">
        <v>8</v>
      </c>
      <c r="C45" t="s">
        <v>21</v>
      </c>
      <c r="D45" s="1">
        <v>45150</v>
      </c>
      <c r="E45" t="s">
        <v>10</v>
      </c>
      <c r="F45" t="s">
        <v>23</v>
      </c>
      <c r="G45" t="s">
        <v>18</v>
      </c>
      <c r="H45" t="s">
        <v>13</v>
      </c>
    </row>
    <row r="46" spans="1:8" x14ac:dyDescent="0.25">
      <c r="A46" t="s">
        <v>70</v>
      </c>
      <c r="B46" t="s">
        <v>8</v>
      </c>
      <c r="C46" t="s">
        <v>25</v>
      </c>
      <c r="D46" s="1">
        <v>45153</v>
      </c>
      <c r="E46" t="s">
        <v>26</v>
      </c>
      <c r="F46" t="s">
        <v>23</v>
      </c>
      <c r="G46" t="s">
        <v>12</v>
      </c>
      <c r="H46" t="s">
        <v>13</v>
      </c>
    </row>
    <row r="47" spans="1:8" x14ac:dyDescent="0.25">
      <c r="A47" t="s">
        <v>71</v>
      </c>
      <c r="B47" t="s">
        <v>15</v>
      </c>
      <c r="C47" t="s">
        <v>28</v>
      </c>
      <c r="D47" s="1">
        <v>45156</v>
      </c>
      <c r="E47" t="s">
        <v>10</v>
      </c>
      <c r="F47" t="s">
        <v>11</v>
      </c>
      <c r="G47" t="s">
        <v>12</v>
      </c>
      <c r="H47" t="s">
        <v>13</v>
      </c>
    </row>
    <row r="48" spans="1:8" x14ac:dyDescent="0.25">
      <c r="A48" t="s">
        <v>72</v>
      </c>
      <c r="B48" t="s">
        <v>8</v>
      </c>
      <c r="C48" t="s">
        <v>30</v>
      </c>
      <c r="D48" s="1">
        <v>45159</v>
      </c>
      <c r="E48" t="s">
        <v>22</v>
      </c>
      <c r="F48" t="s">
        <v>11</v>
      </c>
      <c r="G48" t="s">
        <v>18</v>
      </c>
      <c r="H48" t="s">
        <v>19</v>
      </c>
    </row>
    <row r="49" spans="1:8" x14ac:dyDescent="0.25">
      <c r="A49" t="s">
        <v>73</v>
      </c>
      <c r="B49" t="s">
        <v>8</v>
      </c>
      <c r="C49" t="s">
        <v>9</v>
      </c>
      <c r="D49" s="1">
        <v>45162</v>
      </c>
      <c r="E49" t="s">
        <v>26</v>
      </c>
      <c r="F49" t="s">
        <v>23</v>
      </c>
      <c r="G49" t="s">
        <v>18</v>
      </c>
      <c r="H49" t="s">
        <v>13</v>
      </c>
    </row>
    <row r="50" spans="1:8" x14ac:dyDescent="0.25">
      <c r="A50" t="s">
        <v>74</v>
      </c>
      <c r="B50" t="s">
        <v>15</v>
      </c>
      <c r="C50" t="s">
        <v>16</v>
      </c>
      <c r="D50" s="1">
        <v>45165</v>
      </c>
      <c r="E50" t="s">
        <v>10</v>
      </c>
      <c r="F50" t="s">
        <v>11</v>
      </c>
      <c r="G50" t="s">
        <v>12</v>
      </c>
      <c r="H50" t="s">
        <v>13</v>
      </c>
    </row>
    <row r="51" spans="1:8" x14ac:dyDescent="0.25">
      <c r="A51" t="s">
        <v>75</v>
      </c>
      <c r="B51" t="s">
        <v>8</v>
      </c>
      <c r="C51" t="s">
        <v>21</v>
      </c>
      <c r="D51" s="1">
        <v>45168</v>
      </c>
      <c r="E51" t="s">
        <v>17</v>
      </c>
      <c r="F51" t="s">
        <v>11</v>
      </c>
      <c r="G51" t="s">
        <v>34</v>
      </c>
      <c r="H51" t="s">
        <v>19</v>
      </c>
    </row>
    <row r="52" spans="1:8" x14ac:dyDescent="0.25">
      <c r="A52" t="s">
        <v>76</v>
      </c>
      <c r="B52" t="s">
        <v>15</v>
      </c>
      <c r="C52" t="s">
        <v>25</v>
      </c>
      <c r="D52" s="1">
        <v>45140</v>
      </c>
      <c r="E52" t="s">
        <v>10</v>
      </c>
      <c r="F52" t="s">
        <v>23</v>
      </c>
      <c r="G52" t="s">
        <v>18</v>
      </c>
      <c r="H52" t="s">
        <v>13</v>
      </c>
    </row>
    <row r="53" spans="1:8" x14ac:dyDescent="0.25">
      <c r="A53" t="s">
        <v>77</v>
      </c>
      <c r="B53" t="s">
        <v>8</v>
      </c>
      <c r="C53" t="s">
        <v>28</v>
      </c>
      <c r="D53" s="1">
        <v>45143</v>
      </c>
      <c r="E53" t="s">
        <v>22</v>
      </c>
      <c r="F53" t="s">
        <v>11</v>
      </c>
      <c r="G53" t="s">
        <v>18</v>
      </c>
      <c r="H53" t="s">
        <v>13</v>
      </c>
    </row>
    <row r="54" spans="1:8" x14ac:dyDescent="0.25">
      <c r="A54" t="s">
        <v>78</v>
      </c>
      <c r="B54" t="s">
        <v>15</v>
      </c>
      <c r="C54" t="s">
        <v>30</v>
      </c>
      <c r="D54" s="1">
        <v>45146</v>
      </c>
      <c r="E54" t="s">
        <v>10</v>
      </c>
      <c r="F54" t="s">
        <v>11</v>
      </c>
      <c r="G54" t="s">
        <v>12</v>
      </c>
      <c r="H54" t="s">
        <v>13</v>
      </c>
    </row>
    <row r="55" spans="1:8" x14ac:dyDescent="0.25">
      <c r="A55" t="s">
        <v>79</v>
      </c>
      <c r="B55" t="s">
        <v>8</v>
      </c>
      <c r="C55" t="s">
        <v>9</v>
      </c>
      <c r="D55" s="1">
        <v>45149</v>
      </c>
      <c r="E55" t="s">
        <v>26</v>
      </c>
      <c r="F55" t="s">
        <v>23</v>
      </c>
      <c r="G55" t="s">
        <v>18</v>
      </c>
      <c r="H55" t="s">
        <v>13</v>
      </c>
    </row>
    <row r="56" spans="1:8" x14ac:dyDescent="0.25">
      <c r="A56" t="s">
        <v>80</v>
      </c>
      <c r="B56" t="s">
        <v>15</v>
      </c>
      <c r="C56" t="s">
        <v>25</v>
      </c>
      <c r="D56" s="1">
        <v>45152</v>
      </c>
      <c r="E56" t="s">
        <v>10</v>
      </c>
      <c r="F56" t="s">
        <v>11</v>
      </c>
      <c r="G56" t="s">
        <v>12</v>
      </c>
      <c r="H56" t="s">
        <v>13</v>
      </c>
    </row>
    <row r="57" spans="1:8" x14ac:dyDescent="0.25">
      <c r="A57" t="s">
        <v>81</v>
      </c>
      <c r="B57" t="s">
        <v>8</v>
      </c>
      <c r="C57" t="s">
        <v>28</v>
      </c>
      <c r="D57" s="1">
        <v>45155</v>
      </c>
      <c r="E57" t="s">
        <v>22</v>
      </c>
      <c r="F57" t="s">
        <v>23</v>
      </c>
      <c r="G57" t="s">
        <v>12</v>
      </c>
      <c r="H57" t="s">
        <v>19</v>
      </c>
    </row>
    <row r="58" spans="1:8" x14ac:dyDescent="0.25">
      <c r="A58" t="s">
        <v>82</v>
      </c>
      <c r="B58" t="s">
        <v>15</v>
      </c>
      <c r="C58" t="s">
        <v>30</v>
      </c>
      <c r="D58" s="1">
        <v>45158</v>
      </c>
      <c r="E58" t="s">
        <v>17</v>
      </c>
      <c r="F58" t="s">
        <v>11</v>
      </c>
      <c r="G58" t="s">
        <v>34</v>
      </c>
      <c r="H58" t="s">
        <v>19</v>
      </c>
    </row>
    <row r="59" spans="1:8" x14ac:dyDescent="0.25">
      <c r="A59" t="s">
        <v>83</v>
      </c>
      <c r="B59" t="s">
        <v>8</v>
      </c>
      <c r="C59" t="s">
        <v>16</v>
      </c>
      <c r="D59" s="1">
        <v>45161</v>
      </c>
      <c r="E59" t="s">
        <v>10</v>
      </c>
      <c r="F59" t="s">
        <v>23</v>
      </c>
      <c r="G59" t="s">
        <v>18</v>
      </c>
      <c r="H59" t="s">
        <v>13</v>
      </c>
    </row>
    <row r="60" spans="1:8" x14ac:dyDescent="0.25">
      <c r="A60" t="s">
        <v>84</v>
      </c>
      <c r="B60" t="s">
        <v>8</v>
      </c>
      <c r="C60" t="s">
        <v>21</v>
      </c>
      <c r="D60" s="1">
        <v>45164</v>
      </c>
      <c r="E60" t="s">
        <v>22</v>
      </c>
      <c r="F60" t="s">
        <v>11</v>
      </c>
      <c r="G60" t="s">
        <v>18</v>
      </c>
      <c r="H60" t="s">
        <v>13</v>
      </c>
    </row>
    <row r="61" spans="1:8" x14ac:dyDescent="0.25">
      <c r="A61" t="s">
        <v>85</v>
      </c>
      <c r="B61" t="s">
        <v>15</v>
      </c>
      <c r="C61" t="s">
        <v>25</v>
      </c>
      <c r="D61" s="1">
        <v>45167</v>
      </c>
      <c r="E61" t="s">
        <v>10</v>
      </c>
      <c r="F61" t="s">
        <v>11</v>
      </c>
      <c r="G61" t="s">
        <v>12</v>
      </c>
      <c r="H61" t="s">
        <v>13</v>
      </c>
    </row>
    <row r="62" spans="1:8" x14ac:dyDescent="0.25">
      <c r="A62" t="s">
        <v>86</v>
      </c>
      <c r="B62" t="s">
        <v>8</v>
      </c>
      <c r="C62" t="s">
        <v>30</v>
      </c>
      <c r="D62" s="1">
        <v>45142</v>
      </c>
      <c r="E62" t="s">
        <v>17</v>
      </c>
      <c r="F62" t="s">
        <v>23</v>
      </c>
      <c r="G62" t="s">
        <v>18</v>
      </c>
      <c r="H62" t="s">
        <v>19</v>
      </c>
    </row>
    <row r="63" spans="1:8" x14ac:dyDescent="0.25">
      <c r="A63" t="s">
        <v>87</v>
      </c>
      <c r="B63" t="s">
        <v>8</v>
      </c>
      <c r="C63" t="s">
        <v>9</v>
      </c>
      <c r="D63" s="1">
        <v>45145</v>
      </c>
      <c r="E63" t="s">
        <v>26</v>
      </c>
      <c r="F63" t="s">
        <v>23</v>
      </c>
      <c r="G63" t="s">
        <v>18</v>
      </c>
      <c r="H63" t="s">
        <v>13</v>
      </c>
    </row>
    <row r="64" spans="1:8" x14ac:dyDescent="0.25">
      <c r="A64" t="s">
        <v>88</v>
      </c>
      <c r="B64" t="s">
        <v>15</v>
      </c>
      <c r="C64" t="s">
        <v>16</v>
      </c>
      <c r="D64" s="1">
        <v>45148</v>
      </c>
      <c r="E64" t="s">
        <v>10</v>
      </c>
      <c r="F64" t="s">
        <v>11</v>
      </c>
      <c r="G64" t="s">
        <v>12</v>
      </c>
      <c r="H64" t="s">
        <v>13</v>
      </c>
    </row>
    <row r="65" spans="1:8" x14ac:dyDescent="0.25">
      <c r="A65" t="s">
        <v>89</v>
      </c>
      <c r="B65" t="s">
        <v>8</v>
      </c>
      <c r="C65" t="s">
        <v>21</v>
      </c>
      <c r="D65" s="1">
        <v>45151</v>
      </c>
      <c r="E65" t="s">
        <v>17</v>
      </c>
      <c r="F65" t="s">
        <v>11</v>
      </c>
      <c r="G65" t="s">
        <v>34</v>
      </c>
      <c r="H65" t="s">
        <v>19</v>
      </c>
    </row>
    <row r="66" spans="1:8" x14ac:dyDescent="0.25">
      <c r="A66" t="s">
        <v>90</v>
      </c>
      <c r="B66" t="s">
        <v>15</v>
      </c>
      <c r="C66" t="s">
        <v>25</v>
      </c>
      <c r="D66" s="1">
        <v>45154</v>
      </c>
      <c r="E66" t="s">
        <v>10</v>
      </c>
      <c r="F66" t="s">
        <v>23</v>
      </c>
      <c r="G66" t="s">
        <v>18</v>
      </c>
      <c r="H66" t="s">
        <v>13</v>
      </c>
    </row>
    <row r="67" spans="1:8" x14ac:dyDescent="0.25">
      <c r="A67" t="s">
        <v>91</v>
      </c>
      <c r="B67" t="s">
        <v>8</v>
      </c>
      <c r="C67" t="s">
        <v>28</v>
      </c>
      <c r="D67" s="1">
        <v>45157</v>
      </c>
      <c r="E67" t="s">
        <v>22</v>
      </c>
      <c r="F67" t="s">
        <v>11</v>
      </c>
      <c r="G67" t="s">
        <v>18</v>
      </c>
      <c r="H67" t="s">
        <v>13</v>
      </c>
    </row>
    <row r="68" spans="1:8" x14ac:dyDescent="0.25">
      <c r="A68" t="s">
        <v>92</v>
      </c>
      <c r="B68" t="s">
        <v>15</v>
      </c>
      <c r="C68" t="s">
        <v>30</v>
      </c>
      <c r="D68" s="1">
        <v>45160</v>
      </c>
      <c r="E68" t="s">
        <v>10</v>
      </c>
      <c r="F68" t="s">
        <v>11</v>
      </c>
      <c r="G68" t="s">
        <v>12</v>
      </c>
      <c r="H68" t="s">
        <v>13</v>
      </c>
    </row>
    <row r="69" spans="1:8" x14ac:dyDescent="0.25">
      <c r="A69" t="s">
        <v>93</v>
      </c>
      <c r="B69" t="s">
        <v>8</v>
      </c>
      <c r="C69" t="s">
        <v>9</v>
      </c>
      <c r="D69" s="1">
        <v>45163</v>
      </c>
      <c r="E69" t="s">
        <v>26</v>
      </c>
      <c r="F69" t="s">
        <v>23</v>
      </c>
      <c r="G69" t="s">
        <v>18</v>
      </c>
      <c r="H69" t="s">
        <v>13</v>
      </c>
    </row>
    <row r="70" spans="1:8" x14ac:dyDescent="0.25">
      <c r="A70" t="s">
        <v>94</v>
      </c>
      <c r="B70" t="s">
        <v>15</v>
      </c>
      <c r="C70" t="s">
        <v>25</v>
      </c>
      <c r="D70" s="1">
        <v>45166</v>
      </c>
      <c r="E70" t="s">
        <v>10</v>
      </c>
      <c r="F70" t="s">
        <v>11</v>
      </c>
      <c r="G70" t="s">
        <v>12</v>
      </c>
      <c r="H70" t="s">
        <v>13</v>
      </c>
    </row>
    <row r="71" spans="1:8" x14ac:dyDescent="0.25">
      <c r="A71" t="s">
        <v>95</v>
      </c>
      <c r="B71" t="s">
        <v>8</v>
      </c>
      <c r="C71" t="s">
        <v>28</v>
      </c>
      <c r="D71" s="1">
        <v>45139</v>
      </c>
      <c r="E71" t="s">
        <v>22</v>
      </c>
      <c r="F71" t="s">
        <v>23</v>
      </c>
      <c r="G71" t="s">
        <v>12</v>
      </c>
      <c r="H71" t="s">
        <v>19</v>
      </c>
    </row>
    <row r="72" spans="1:8" x14ac:dyDescent="0.25">
      <c r="A72" t="s">
        <v>96</v>
      </c>
      <c r="B72" t="s">
        <v>15</v>
      </c>
      <c r="C72" t="s">
        <v>30</v>
      </c>
      <c r="D72" s="1">
        <v>45141</v>
      </c>
      <c r="E72" t="s">
        <v>10</v>
      </c>
      <c r="F72" t="s">
        <v>11</v>
      </c>
      <c r="G72" t="s">
        <v>12</v>
      </c>
      <c r="H72" t="s">
        <v>13</v>
      </c>
    </row>
    <row r="73" spans="1:8" x14ac:dyDescent="0.25">
      <c r="A73" t="s">
        <v>97</v>
      </c>
      <c r="B73" t="s">
        <v>8</v>
      </c>
      <c r="C73" t="s">
        <v>9</v>
      </c>
      <c r="D73" s="1">
        <v>45144</v>
      </c>
      <c r="E73" t="s">
        <v>17</v>
      </c>
      <c r="F73" t="s">
        <v>23</v>
      </c>
      <c r="G73" t="s">
        <v>18</v>
      </c>
      <c r="H73" t="s">
        <v>19</v>
      </c>
    </row>
    <row r="74" spans="1:8" x14ac:dyDescent="0.25">
      <c r="A74" t="s">
        <v>98</v>
      </c>
      <c r="B74" t="s">
        <v>15</v>
      </c>
      <c r="C74" t="s">
        <v>16</v>
      </c>
      <c r="D74" s="1">
        <v>45147</v>
      </c>
      <c r="E74" t="s">
        <v>22</v>
      </c>
      <c r="F74" t="s">
        <v>11</v>
      </c>
      <c r="G74" t="s">
        <v>12</v>
      </c>
      <c r="H74" t="s">
        <v>13</v>
      </c>
    </row>
    <row r="75" spans="1:8" x14ac:dyDescent="0.25">
      <c r="A75" t="s">
        <v>99</v>
      </c>
      <c r="B75" t="s">
        <v>8</v>
      </c>
      <c r="C75" t="s">
        <v>21</v>
      </c>
      <c r="D75" s="1">
        <v>45150</v>
      </c>
      <c r="E75" t="s">
        <v>10</v>
      </c>
      <c r="F75" t="s">
        <v>23</v>
      </c>
      <c r="G75" t="s">
        <v>18</v>
      </c>
      <c r="H75" t="s">
        <v>13</v>
      </c>
    </row>
    <row r="76" spans="1:8" x14ac:dyDescent="0.25">
      <c r="A76" t="s">
        <v>100</v>
      </c>
      <c r="B76" t="s">
        <v>8</v>
      </c>
      <c r="C76" t="s">
        <v>25</v>
      </c>
      <c r="D76" s="1">
        <v>45153</v>
      </c>
      <c r="E76" t="s">
        <v>26</v>
      </c>
      <c r="F76" t="s">
        <v>23</v>
      </c>
      <c r="G76" t="s">
        <v>12</v>
      </c>
      <c r="H76" t="s">
        <v>13</v>
      </c>
    </row>
    <row r="77" spans="1:8" x14ac:dyDescent="0.25">
      <c r="A77" t="s">
        <v>101</v>
      </c>
      <c r="B77" t="s">
        <v>15</v>
      </c>
      <c r="C77" t="s">
        <v>28</v>
      </c>
      <c r="D77" s="1">
        <v>45156</v>
      </c>
      <c r="E77" t="s">
        <v>10</v>
      </c>
      <c r="F77" t="s">
        <v>11</v>
      </c>
      <c r="G77" t="s">
        <v>12</v>
      </c>
      <c r="H77" t="s">
        <v>13</v>
      </c>
    </row>
    <row r="78" spans="1:8" x14ac:dyDescent="0.25">
      <c r="A78" t="s">
        <v>102</v>
      </c>
      <c r="B78" t="s">
        <v>8</v>
      </c>
      <c r="C78" t="s">
        <v>30</v>
      </c>
      <c r="D78" s="1">
        <v>45159</v>
      </c>
      <c r="E78" t="s">
        <v>22</v>
      </c>
      <c r="F78" t="s">
        <v>11</v>
      </c>
      <c r="G78" t="s">
        <v>18</v>
      </c>
      <c r="H78" t="s">
        <v>19</v>
      </c>
    </row>
    <row r="79" spans="1:8" x14ac:dyDescent="0.25">
      <c r="A79" t="s">
        <v>103</v>
      </c>
      <c r="B79" t="s">
        <v>8</v>
      </c>
      <c r="C79" t="s">
        <v>9</v>
      </c>
      <c r="D79" s="1">
        <v>45162</v>
      </c>
      <c r="E79" t="s">
        <v>26</v>
      </c>
      <c r="F79" t="s">
        <v>23</v>
      </c>
      <c r="G79" t="s">
        <v>18</v>
      </c>
      <c r="H79" t="s">
        <v>13</v>
      </c>
    </row>
    <row r="80" spans="1:8" x14ac:dyDescent="0.25">
      <c r="A80" t="s">
        <v>104</v>
      </c>
      <c r="B80" t="s">
        <v>15</v>
      </c>
      <c r="C80" t="s">
        <v>16</v>
      </c>
      <c r="D80" s="1">
        <v>45165</v>
      </c>
      <c r="E80" t="s">
        <v>10</v>
      </c>
      <c r="F80" t="s">
        <v>11</v>
      </c>
      <c r="G80" t="s">
        <v>12</v>
      </c>
      <c r="H80" t="s">
        <v>13</v>
      </c>
    </row>
    <row r="81" spans="1:8" x14ac:dyDescent="0.25">
      <c r="A81" t="s">
        <v>105</v>
      </c>
      <c r="B81" t="s">
        <v>8</v>
      </c>
      <c r="C81" t="s">
        <v>21</v>
      </c>
      <c r="D81" s="1">
        <v>45168</v>
      </c>
      <c r="E81" t="s">
        <v>17</v>
      </c>
      <c r="F81" t="s">
        <v>11</v>
      </c>
      <c r="G81" t="s">
        <v>34</v>
      </c>
      <c r="H81" t="s">
        <v>19</v>
      </c>
    </row>
    <row r="82" spans="1:8" x14ac:dyDescent="0.25">
      <c r="A82" t="s">
        <v>106</v>
      </c>
      <c r="B82" t="s">
        <v>15</v>
      </c>
      <c r="C82" t="s">
        <v>25</v>
      </c>
      <c r="D82" s="1">
        <v>45140</v>
      </c>
      <c r="E82" t="s">
        <v>10</v>
      </c>
      <c r="F82" t="s">
        <v>23</v>
      </c>
      <c r="G82" t="s">
        <v>18</v>
      </c>
      <c r="H82" t="s">
        <v>13</v>
      </c>
    </row>
    <row r="83" spans="1:8" x14ac:dyDescent="0.25">
      <c r="A83" t="s">
        <v>107</v>
      </c>
      <c r="B83" t="s">
        <v>8</v>
      </c>
      <c r="C83" t="s">
        <v>28</v>
      </c>
      <c r="D83" s="1">
        <v>45143</v>
      </c>
      <c r="E83" t="s">
        <v>22</v>
      </c>
      <c r="F83" t="s">
        <v>11</v>
      </c>
      <c r="G83" t="s">
        <v>18</v>
      </c>
      <c r="H83" t="s">
        <v>13</v>
      </c>
    </row>
    <row r="84" spans="1:8" x14ac:dyDescent="0.25">
      <c r="A84" t="s">
        <v>108</v>
      </c>
      <c r="B84" t="s">
        <v>15</v>
      </c>
      <c r="C84" t="s">
        <v>30</v>
      </c>
      <c r="D84" s="1">
        <v>45146</v>
      </c>
      <c r="E84" t="s">
        <v>10</v>
      </c>
      <c r="F84" t="s">
        <v>11</v>
      </c>
      <c r="G84" t="s">
        <v>12</v>
      </c>
      <c r="H84" t="s">
        <v>13</v>
      </c>
    </row>
    <row r="85" spans="1:8" x14ac:dyDescent="0.25">
      <c r="A85" t="s">
        <v>109</v>
      </c>
      <c r="B85" t="s">
        <v>8</v>
      </c>
      <c r="C85" t="s">
        <v>9</v>
      </c>
      <c r="D85" s="1">
        <v>45149</v>
      </c>
      <c r="E85" t="s">
        <v>26</v>
      </c>
      <c r="F85" t="s">
        <v>23</v>
      </c>
      <c r="G85" t="s">
        <v>18</v>
      </c>
      <c r="H85" t="s">
        <v>13</v>
      </c>
    </row>
    <row r="86" spans="1:8" x14ac:dyDescent="0.25">
      <c r="A86" t="s">
        <v>110</v>
      </c>
      <c r="B86" t="s">
        <v>15</v>
      </c>
      <c r="C86" t="s">
        <v>25</v>
      </c>
      <c r="D86" s="1">
        <v>45152</v>
      </c>
      <c r="E86" t="s">
        <v>10</v>
      </c>
      <c r="F86" t="s">
        <v>11</v>
      </c>
      <c r="G86" t="s">
        <v>12</v>
      </c>
      <c r="H86" t="s">
        <v>13</v>
      </c>
    </row>
    <row r="87" spans="1:8" x14ac:dyDescent="0.25">
      <c r="A87" t="s">
        <v>111</v>
      </c>
      <c r="B87" t="s">
        <v>8</v>
      </c>
      <c r="C87" t="s">
        <v>28</v>
      </c>
      <c r="D87" s="1">
        <v>45155</v>
      </c>
      <c r="E87" t="s">
        <v>22</v>
      </c>
      <c r="F87" t="s">
        <v>23</v>
      </c>
      <c r="G87" t="s">
        <v>12</v>
      </c>
      <c r="H87" t="s">
        <v>19</v>
      </c>
    </row>
    <row r="88" spans="1:8" x14ac:dyDescent="0.25">
      <c r="A88" t="s">
        <v>112</v>
      </c>
      <c r="B88" t="s">
        <v>15</v>
      </c>
      <c r="C88" t="s">
        <v>30</v>
      </c>
      <c r="D88" s="1">
        <v>45158</v>
      </c>
      <c r="E88" t="s">
        <v>17</v>
      </c>
      <c r="F88" t="s">
        <v>11</v>
      </c>
      <c r="G88" t="s">
        <v>34</v>
      </c>
      <c r="H88" t="s">
        <v>19</v>
      </c>
    </row>
    <row r="89" spans="1:8" x14ac:dyDescent="0.25">
      <c r="A89" t="s">
        <v>113</v>
      </c>
      <c r="B89" t="s">
        <v>8</v>
      </c>
      <c r="C89" t="s">
        <v>16</v>
      </c>
      <c r="D89" s="1">
        <v>45161</v>
      </c>
      <c r="E89" t="s">
        <v>10</v>
      </c>
      <c r="F89" t="s">
        <v>23</v>
      </c>
      <c r="G89" t="s">
        <v>18</v>
      </c>
      <c r="H89" t="s">
        <v>13</v>
      </c>
    </row>
    <row r="90" spans="1:8" x14ac:dyDescent="0.25">
      <c r="A90" t="s">
        <v>114</v>
      </c>
      <c r="B90" t="s">
        <v>8</v>
      </c>
      <c r="C90" t="s">
        <v>21</v>
      </c>
      <c r="D90" s="1">
        <v>45164</v>
      </c>
      <c r="E90" t="s">
        <v>22</v>
      </c>
      <c r="F90" t="s">
        <v>11</v>
      </c>
      <c r="G90" t="s">
        <v>18</v>
      </c>
      <c r="H90" t="s">
        <v>13</v>
      </c>
    </row>
    <row r="91" spans="1:8" x14ac:dyDescent="0.25">
      <c r="A91" t="s">
        <v>115</v>
      </c>
      <c r="B91" t="s">
        <v>15</v>
      </c>
      <c r="C91" t="s">
        <v>25</v>
      </c>
      <c r="D91" s="1">
        <v>45167</v>
      </c>
      <c r="E91" t="s">
        <v>10</v>
      </c>
      <c r="F91" t="s">
        <v>11</v>
      </c>
      <c r="G91" t="s">
        <v>12</v>
      </c>
      <c r="H91" t="s">
        <v>13</v>
      </c>
    </row>
    <row r="92" spans="1:8" x14ac:dyDescent="0.25">
      <c r="A92" t="s">
        <v>116</v>
      </c>
      <c r="B92" t="s">
        <v>8</v>
      </c>
      <c r="C92" t="s">
        <v>30</v>
      </c>
      <c r="D92" s="1">
        <v>45142</v>
      </c>
      <c r="E92" t="s">
        <v>17</v>
      </c>
      <c r="F92" t="s">
        <v>23</v>
      </c>
      <c r="G92" t="s">
        <v>18</v>
      </c>
      <c r="H92" t="s">
        <v>19</v>
      </c>
    </row>
    <row r="93" spans="1:8" x14ac:dyDescent="0.25">
      <c r="A93" t="s">
        <v>117</v>
      </c>
      <c r="B93" t="s">
        <v>8</v>
      </c>
      <c r="C93" t="s">
        <v>9</v>
      </c>
      <c r="D93" s="1">
        <v>45145</v>
      </c>
      <c r="E93" t="s">
        <v>26</v>
      </c>
      <c r="F93" t="s">
        <v>23</v>
      </c>
      <c r="G93" t="s">
        <v>18</v>
      </c>
      <c r="H93" t="s">
        <v>13</v>
      </c>
    </row>
    <row r="94" spans="1:8" x14ac:dyDescent="0.25">
      <c r="A94" t="s">
        <v>118</v>
      </c>
      <c r="B94" t="s">
        <v>15</v>
      </c>
      <c r="C94" t="s">
        <v>16</v>
      </c>
      <c r="D94" s="1">
        <v>45148</v>
      </c>
      <c r="E94" t="s">
        <v>10</v>
      </c>
      <c r="F94" t="s">
        <v>11</v>
      </c>
      <c r="G94" t="s">
        <v>12</v>
      </c>
      <c r="H94" t="s">
        <v>13</v>
      </c>
    </row>
    <row r="95" spans="1:8" x14ac:dyDescent="0.25">
      <c r="A95" t="s">
        <v>119</v>
      </c>
      <c r="B95" t="s">
        <v>8</v>
      </c>
      <c r="C95" t="s">
        <v>21</v>
      </c>
      <c r="D95" s="1">
        <v>45151</v>
      </c>
      <c r="E95" t="s">
        <v>17</v>
      </c>
      <c r="F95" t="s">
        <v>11</v>
      </c>
      <c r="G95" t="s">
        <v>34</v>
      </c>
      <c r="H95" t="s">
        <v>19</v>
      </c>
    </row>
    <row r="96" spans="1:8" x14ac:dyDescent="0.25">
      <c r="A96" t="s">
        <v>120</v>
      </c>
      <c r="B96" t="s">
        <v>15</v>
      </c>
      <c r="C96" t="s">
        <v>25</v>
      </c>
      <c r="D96" s="1">
        <v>45154</v>
      </c>
      <c r="E96" t="s">
        <v>10</v>
      </c>
      <c r="F96" t="s">
        <v>23</v>
      </c>
      <c r="G96" t="s">
        <v>18</v>
      </c>
      <c r="H96" t="s">
        <v>13</v>
      </c>
    </row>
    <row r="97" spans="1:8" x14ac:dyDescent="0.25">
      <c r="A97" t="s">
        <v>121</v>
      </c>
      <c r="B97" t="s">
        <v>8</v>
      </c>
      <c r="C97" t="s">
        <v>28</v>
      </c>
      <c r="D97" s="1">
        <v>45157</v>
      </c>
      <c r="E97" t="s">
        <v>22</v>
      </c>
      <c r="F97" t="s">
        <v>11</v>
      </c>
      <c r="G97" t="s">
        <v>18</v>
      </c>
      <c r="H97" t="s">
        <v>13</v>
      </c>
    </row>
    <row r="98" spans="1:8" x14ac:dyDescent="0.25">
      <c r="A98" t="s">
        <v>122</v>
      </c>
      <c r="B98" t="s">
        <v>15</v>
      </c>
      <c r="C98" t="s">
        <v>30</v>
      </c>
      <c r="D98" s="1">
        <v>45160</v>
      </c>
      <c r="E98" t="s">
        <v>10</v>
      </c>
      <c r="F98" t="s">
        <v>11</v>
      </c>
      <c r="G98" t="s">
        <v>12</v>
      </c>
      <c r="H98" t="s">
        <v>13</v>
      </c>
    </row>
    <row r="99" spans="1:8" x14ac:dyDescent="0.25">
      <c r="A99" t="s">
        <v>123</v>
      </c>
      <c r="B99" t="s">
        <v>8</v>
      </c>
      <c r="C99" t="s">
        <v>9</v>
      </c>
      <c r="D99" s="1">
        <v>45163</v>
      </c>
      <c r="E99" t="s">
        <v>26</v>
      </c>
      <c r="F99" t="s">
        <v>23</v>
      </c>
      <c r="G99" t="s">
        <v>18</v>
      </c>
      <c r="H99" t="s">
        <v>13</v>
      </c>
    </row>
    <row r="100" spans="1:8" x14ac:dyDescent="0.25">
      <c r="A100" t="s">
        <v>124</v>
      </c>
      <c r="B100" t="s">
        <v>15</v>
      </c>
      <c r="C100" t="s">
        <v>25</v>
      </c>
      <c r="D100" s="1">
        <v>45166</v>
      </c>
      <c r="E100" t="s">
        <v>10</v>
      </c>
      <c r="F100" t="s">
        <v>11</v>
      </c>
      <c r="G100" t="s">
        <v>12</v>
      </c>
      <c r="H100" t="s">
        <v>13</v>
      </c>
    </row>
    <row r="101" spans="1:8" x14ac:dyDescent="0.25">
      <c r="A101" t="s">
        <v>125</v>
      </c>
      <c r="B101" t="s">
        <v>8</v>
      </c>
      <c r="C101" t="s">
        <v>28</v>
      </c>
      <c r="D101" s="1">
        <v>45139</v>
      </c>
      <c r="E101" t="s">
        <v>22</v>
      </c>
      <c r="F101" t="s">
        <v>23</v>
      </c>
      <c r="G101" t="s">
        <v>12</v>
      </c>
      <c r="H101" t="s">
        <v>19</v>
      </c>
    </row>
    <row r="102" spans="1:8" x14ac:dyDescent="0.25">
      <c r="A102" t="s">
        <v>126</v>
      </c>
      <c r="B102" t="s">
        <v>15</v>
      </c>
      <c r="C102" t="s">
        <v>30</v>
      </c>
      <c r="D102" s="1">
        <v>45141</v>
      </c>
      <c r="E102" t="s">
        <v>10</v>
      </c>
      <c r="F102" t="s">
        <v>11</v>
      </c>
      <c r="G102" t="s">
        <v>12</v>
      </c>
      <c r="H102" t="s">
        <v>13</v>
      </c>
    </row>
    <row r="103" spans="1:8" x14ac:dyDescent="0.25">
      <c r="A103" t="s">
        <v>127</v>
      </c>
      <c r="B103" t="s">
        <v>8</v>
      </c>
      <c r="C103" t="s">
        <v>9</v>
      </c>
      <c r="D103" s="1">
        <v>45144</v>
      </c>
      <c r="E103" t="s">
        <v>17</v>
      </c>
      <c r="F103" t="s">
        <v>23</v>
      </c>
      <c r="G103" t="s">
        <v>18</v>
      </c>
      <c r="H103" t="s">
        <v>19</v>
      </c>
    </row>
    <row r="104" spans="1:8" x14ac:dyDescent="0.25">
      <c r="A104" t="s">
        <v>128</v>
      </c>
      <c r="B104" t="s">
        <v>15</v>
      </c>
      <c r="C104" t="s">
        <v>16</v>
      </c>
      <c r="D104" s="1">
        <v>45147</v>
      </c>
      <c r="E104" t="s">
        <v>22</v>
      </c>
      <c r="F104" t="s">
        <v>11</v>
      </c>
      <c r="G104" t="s">
        <v>12</v>
      </c>
      <c r="H104" t="s">
        <v>13</v>
      </c>
    </row>
    <row r="105" spans="1:8" x14ac:dyDescent="0.25">
      <c r="A105" t="s">
        <v>129</v>
      </c>
      <c r="B105" t="s">
        <v>8</v>
      </c>
      <c r="C105" t="s">
        <v>21</v>
      </c>
      <c r="D105" s="1">
        <v>45150</v>
      </c>
      <c r="E105" t="s">
        <v>10</v>
      </c>
      <c r="F105" t="s">
        <v>23</v>
      </c>
      <c r="G105" t="s">
        <v>18</v>
      </c>
      <c r="H105" t="s">
        <v>13</v>
      </c>
    </row>
    <row r="106" spans="1:8" x14ac:dyDescent="0.25">
      <c r="A106" t="s">
        <v>130</v>
      </c>
      <c r="B106" t="s">
        <v>8</v>
      </c>
      <c r="C106" t="s">
        <v>25</v>
      </c>
      <c r="D106" s="1">
        <v>45153</v>
      </c>
      <c r="E106" t="s">
        <v>26</v>
      </c>
      <c r="F106" t="s">
        <v>23</v>
      </c>
      <c r="G106" t="s">
        <v>12</v>
      </c>
      <c r="H106" t="s">
        <v>13</v>
      </c>
    </row>
    <row r="107" spans="1:8" x14ac:dyDescent="0.25">
      <c r="A107" t="s">
        <v>131</v>
      </c>
      <c r="B107" t="s">
        <v>15</v>
      </c>
      <c r="C107" t="s">
        <v>28</v>
      </c>
      <c r="D107" s="1">
        <v>45156</v>
      </c>
      <c r="E107" t="s">
        <v>10</v>
      </c>
      <c r="F107" t="s">
        <v>11</v>
      </c>
      <c r="G107" t="s">
        <v>12</v>
      </c>
      <c r="H107" t="s">
        <v>13</v>
      </c>
    </row>
    <row r="108" spans="1:8" x14ac:dyDescent="0.25">
      <c r="A108" t="s">
        <v>132</v>
      </c>
      <c r="B108" t="s">
        <v>8</v>
      </c>
      <c r="C108" t="s">
        <v>30</v>
      </c>
      <c r="D108" s="1">
        <v>45159</v>
      </c>
      <c r="E108" t="s">
        <v>22</v>
      </c>
      <c r="F108" t="s">
        <v>11</v>
      </c>
      <c r="G108" t="s">
        <v>18</v>
      </c>
      <c r="H108" t="s">
        <v>19</v>
      </c>
    </row>
    <row r="109" spans="1:8" x14ac:dyDescent="0.25">
      <c r="A109" t="s">
        <v>133</v>
      </c>
      <c r="B109" t="s">
        <v>8</v>
      </c>
      <c r="C109" t="s">
        <v>9</v>
      </c>
      <c r="D109" s="1">
        <v>45162</v>
      </c>
      <c r="E109" t="s">
        <v>26</v>
      </c>
      <c r="F109" t="s">
        <v>23</v>
      </c>
      <c r="G109" t="s">
        <v>18</v>
      </c>
      <c r="H109" t="s">
        <v>13</v>
      </c>
    </row>
    <row r="110" spans="1:8" x14ac:dyDescent="0.25">
      <c r="A110" t="s">
        <v>134</v>
      </c>
      <c r="B110" t="s">
        <v>15</v>
      </c>
      <c r="C110" t="s">
        <v>16</v>
      </c>
      <c r="D110" s="1">
        <v>45165</v>
      </c>
      <c r="E110" t="s">
        <v>10</v>
      </c>
      <c r="F110" t="s">
        <v>11</v>
      </c>
      <c r="G110" t="s">
        <v>12</v>
      </c>
      <c r="H110" t="s">
        <v>13</v>
      </c>
    </row>
    <row r="111" spans="1:8" x14ac:dyDescent="0.25">
      <c r="A111" t="s">
        <v>135</v>
      </c>
      <c r="B111" t="s">
        <v>8</v>
      </c>
      <c r="C111" t="s">
        <v>21</v>
      </c>
      <c r="D111" s="1">
        <v>45168</v>
      </c>
      <c r="E111" t="s">
        <v>17</v>
      </c>
      <c r="F111" t="s">
        <v>11</v>
      </c>
      <c r="G111" t="s">
        <v>34</v>
      </c>
      <c r="H111" t="s">
        <v>19</v>
      </c>
    </row>
    <row r="112" spans="1:8" x14ac:dyDescent="0.25">
      <c r="A112" t="s">
        <v>136</v>
      </c>
      <c r="B112" t="s">
        <v>15</v>
      </c>
      <c r="C112" t="s">
        <v>25</v>
      </c>
      <c r="D112" s="1">
        <v>45140</v>
      </c>
      <c r="E112" t="s">
        <v>10</v>
      </c>
      <c r="F112" t="s">
        <v>23</v>
      </c>
      <c r="G112" t="s">
        <v>18</v>
      </c>
      <c r="H112" t="s">
        <v>13</v>
      </c>
    </row>
    <row r="113" spans="1:8" x14ac:dyDescent="0.25">
      <c r="A113" t="s">
        <v>137</v>
      </c>
      <c r="B113" t="s">
        <v>8</v>
      </c>
      <c r="C113" t="s">
        <v>28</v>
      </c>
      <c r="D113" s="1">
        <v>45143</v>
      </c>
      <c r="E113" t="s">
        <v>22</v>
      </c>
      <c r="F113" t="s">
        <v>11</v>
      </c>
      <c r="G113" t="s">
        <v>18</v>
      </c>
      <c r="H113" t="s">
        <v>13</v>
      </c>
    </row>
    <row r="114" spans="1:8" x14ac:dyDescent="0.25">
      <c r="A114" t="s">
        <v>138</v>
      </c>
      <c r="B114" t="s">
        <v>15</v>
      </c>
      <c r="C114" t="s">
        <v>30</v>
      </c>
      <c r="D114" s="1">
        <v>45146</v>
      </c>
      <c r="E114" t="s">
        <v>10</v>
      </c>
      <c r="F114" t="s">
        <v>11</v>
      </c>
      <c r="G114" t="s">
        <v>12</v>
      </c>
      <c r="H114" t="s">
        <v>13</v>
      </c>
    </row>
    <row r="115" spans="1:8" x14ac:dyDescent="0.25">
      <c r="A115" t="s">
        <v>139</v>
      </c>
      <c r="B115" t="s">
        <v>8</v>
      </c>
      <c r="C115" t="s">
        <v>9</v>
      </c>
      <c r="D115" s="1">
        <v>45149</v>
      </c>
      <c r="E115" t="s">
        <v>26</v>
      </c>
      <c r="F115" t="s">
        <v>23</v>
      </c>
      <c r="G115" t="s">
        <v>18</v>
      </c>
      <c r="H115" t="s">
        <v>13</v>
      </c>
    </row>
    <row r="116" spans="1:8" x14ac:dyDescent="0.25">
      <c r="A116" t="s">
        <v>140</v>
      </c>
      <c r="B116" t="s">
        <v>15</v>
      </c>
      <c r="C116" t="s">
        <v>25</v>
      </c>
      <c r="D116" s="1">
        <v>45152</v>
      </c>
      <c r="E116" t="s">
        <v>10</v>
      </c>
      <c r="F116" t="s">
        <v>11</v>
      </c>
      <c r="G116" t="s">
        <v>12</v>
      </c>
      <c r="H116" t="s">
        <v>13</v>
      </c>
    </row>
    <row r="117" spans="1:8" x14ac:dyDescent="0.25">
      <c r="A117" t="s">
        <v>141</v>
      </c>
      <c r="B117" t="s">
        <v>8</v>
      </c>
      <c r="C117" t="s">
        <v>28</v>
      </c>
      <c r="D117" s="1">
        <v>45155</v>
      </c>
      <c r="E117" t="s">
        <v>22</v>
      </c>
      <c r="F117" t="s">
        <v>23</v>
      </c>
      <c r="G117" t="s">
        <v>12</v>
      </c>
      <c r="H117" t="s">
        <v>19</v>
      </c>
    </row>
    <row r="118" spans="1:8" x14ac:dyDescent="0.25">
      <c r="A118" t="s">
        <v>142</v>
      </c>
      <c r="B118" t="s">
        <v>15</v>
      </c>
      <c r="C118" t="s">
        <v>30</v>
      </c>
      <c r="D118" s="1">
        <v>45158</v>
      </c>
      <c r="E118" t="s">
        <v>17</v>
      </c>
      <c r="F118" t="s">
        <v>11</v>
      </c>
      <c r="G118" t="s">
        <v>34</v>
      </c>
      <c r="H118" t="s">
        <v>19</v>
      </c>
    </row>
    <row r="119" spans="1:8" x14ac:dyDescent="0.25">
      <c r="A119" t="s">
        <v>143</v>
      </c>
      <c r="B119" t="s">
        <v>8</v>
      </c>
      <c r="C119" t="s">
        <v>16</v>
      </c>
      <c r="D119" s="1">
        <v>45161</v>
      </c>
      <c r="E119" t="s">
        <v>10</v>
      </c>
      <c r="F119" t="s">
        <v>23</v>
      </c>
      <c r="G119" t="s">
        <v>18</v>
      </c>
      <c r="H119" t="s">
        <v>13</v>
      </c>
    </row>
    <row r="120" spans="1:8" x14ac:dyDescent="0.25">
      <c r="A120" t="s">
        <v>144</v>
      </c>
      <c r="B120" t="s">
        <v>8</v>
      </c>
      <c r="C120" t="s">
        <v>21</v>
      </c>
      <c r="D120" s="1">
        <v>45164</v>
      </c>
      <c r="E120" t="s">
        <v>22</v>
      </c>
      <c r="F120" t="s">
        <v>11</v>
      </c>
      <c r="G120" t="s">
        <v>18</v>
      </c>
      <c r="H120" t="s">
        <v>13</v>
      </c>
    </row>
    <row r="121" spans="1:8" x14ac:dyDescent="0.25">
      <c r="A121" t="s">
        <v>145</v>
      </c>
      <c r="B121" t="s">
        <v>15</v>
      </c>
      <c r="C121" t="s">
        <v>25</v>
      </c>
      <c r="D121" s="1">
        <v>45167</v>
      </c>
      <c r="E121" t="s">
        <v>10</v>
      </c>
      <c r="F121" t="s">
        <v>11</v>
      </c>
      <c r="G121" t="s">
        <v>12</v>
      </c>
      <c r="H121" t="s">
        <v>13</v>
      </c>
    </row>
    <row r="122" spans="1:8" x14ac:dyDescent="0.25">
      <c r="A122" t="s">
        <v>146</v>
      </c>
      <c r="B122" t="s">
        <v>15</v>
      </c>
      <c r="C122" t="s">
        <v>30</v>
      </c>
      <c r="D122" s="1">
        <v>45169</v>
      </c>
      <c r="E122" t="s">
        <v>10</v>
      </c>
      <c r="F122" t="s">
        <v>23</v>
      </c>
      <c r="G122" t="s">
        <v>18</v>
      </c>
      <c r="H122" t="s">
        <v>13</v>
      </c>
    </row>
    <row r="123" spans="1:8" x14ac:dyDescent="0.25">
      <c r="A123" t="s">
        <v>147</v>
      </c>
      <c r="B123" t="s">
        <v>8</v>
      </c>
      <c r="C123" t="s">
        <v>9</v>
      </c>
      <c r="D123" s="1">
        <v>45169</v>
      </c>
      <c r="E123" t="s">
        <v>17</v>
      </c>
      <c r="F123" t="s">
        <v>11</v>
      </c>
      <c r="G123" t="s">
        <v>34</v>
      </c>
      <c r="H123" t="s">
        <v>19</v>
      </c>
    </row>
    <row r="124" spans="1:8" x14ac:dyDescent="0.25">
      <c r="A124" t="s">
        <v>148</v>
      </c>
      <c r="B124" t="s">
        <v>15</v>
      </c>
      <c r="C124" t="s">
        <v>16</v>
      </c>
      <c r="D124" s="1">
        <v>45169</v>
      </c>
      <c r="E124" t="s">
        <v>22</v>
      </c>
      <c r="F124" t="s">
        <v>23</v>
      </c>
      <c r="G124" t="s">
        <v>18</v>
      </c>
      <c r="H124" t="s">
        <v>13</v>
      </c>
    </row>
    <row r="125" spans="1:8" x14ac:dyDescent="0.25">
      <c r="A125" t="s">
        <v>149</v>
      </c>
      <c r="B125" t="s">
        <v>8</v>
      </c>
      <c r="C125" t="s">
        <v>21</v>
      </c>
      <c r="D125" s="1">
        <v>45169</v>
      </c>
      <c r="E125" t="s">
        <v>10</v>
      </c>
      <c r="F125" t="s">
        <v>11</v>
      </c>
      <c r="G125" t="s">
        <v>12</v>
      </c>
      <c r="H125" t="s">
        <v>13</v>
      </c>
    </row>
    <row r="126" spans="1:8" x14ac:dyDescent="0.25">
      <c r="A126" t="s">
        <v>150</v>
      </c>
      <c r="B126" t="s">
        <v>8</v>
      </c>
      <c r="C126" t="s">
        <v>25</v>
      </c>
      <c r="D126" s="1">
        <v>45169</v>
      </c>
      <c r="E126" t="s">
        <v>26</v>
      </c>
      <c r="F126" t="s">
        <v>23</v>
      </c>
      <c r="G126" t="s">
        <v>12</v>
      </c>
      <c r="H126" t="s">
        <v>13</v>
      </c>
    </row>
    <row r="127" spans="1:8" x14ac:dyDescent="0.25">
      <c r="A127" t="s">
        <v>151</v>
      </c>
      <c r="B127" t="s">
        <v>15</v>
      </c>
      <c r="C127" t="s">
        <v>28</v>
      </c>
      <c r="D127" s="1">
        <v>45169</v>
      </c>
      <c r="E127" t="s">
        <v>10</v>
      </c>
      <c r="F127" t="s">
        <v>11</v>
      </c>
      <c r="G127" t="s">
        <v>12</v>
      </c>
      <c r="H127" t="s">
        <v>13</v>
      </c>
    </row>
    <row r="128" spans="1:8" x14ac:dyDescent="0.25">
      <c r="A128" t="s">
        <v>152</v>
      </c>
      <c r="B128" t="s">
        <v>8</v>
      </c>
      <c r="C128" t="s">
        <v>30</v>
      </c>
      <c r="D128" s="1">
        <v>45169</v>
      </c>
      <c r="E128" t="s">
        <v>22</v>
      </c>
      <c r="F128" t="s">
        <v>11</v>
      </c>
      <c r="G128" t="s">
        <v>18</v>
      </c>
      <c r="H128" t="s">
        <v>19</v>
      </c>
    </row>
    <row r="129" spans="1:8" x14ac:dyDescent="0.25">
      <c r="A129" t="s">
        <v>153</v>
      </c>
      <c r="B129" t="s">
        <v>8</v>
      </c>
      <c r="C129" t="s">
        <v>9</v>
      </c>
      <c r="D129" s="1">
        <v>45169</v>
      </c>
      <c r="E129" t="s">
        <v>26</v>
      </c>
      <c r="F129" t="s">
        <v>23</v>
      </c>
      <c r="G129" t="s">
        <v>18</v>
      </c>
      <c r="H129" t="s">
        <v>13</v>
      </c>
    </row>
    <row r="130" spans="1:8" x14ac:dyDescent="0.25">
      <c r="A130" t="s">
        <v>154</v>
      </c>
      <c r="B130" t="s">
        <v>15</v>
      </c>
      <c r="C130" t="s">
        <v>16</v>
      </c>
      <c r="D130" s="1">
        <v>45169</v>
      </c>
      <c r="E130" t="s">
        <v>10</v>
      </c>
      <c r="F130" t="s">
        <v>11</v>
      </c>
      <c r="G130" t="s">
        <v>12</v>
      </c>
      <c r="H130" t="s">
        <v>13</v>
      </c>
    </row>
    <row r="131" spans="1:8" x14ac:dyDescent="0.25">
      <c r="A131" t="s">
        <v>155</v>
      </c>
      <c r="B131" t="s">
        <v>8</v>
      </c>
      <c r="C131" t="s">
        <v>21</v>
      </c>
      <c r="D131" s="1">
        <v>45169</v>
      </c>
      <c r="E131" t="s">
        <v>17</v>
      </c>
      <c r="F131" t="s">
        <v>11</v>
      </c>
      <c r="G131" t="s">
        <v>34</v>
      </c>
      <c r="H131" t="s">
        <v>19</v>
      </c>
    </row>
    <row r="132" spans="1:8" x14ac:dyDescent="0.25">
      <c r="A132" t="s">
        <v>156</v>
      </c>
      <c r="B132" t="s">
        <v>15</v>
      </c>
      <c r="C132" t="s">
        <v>25</v>
      </c>
      <c r="D132" s="1">
        <v>45169</v>
      </c>
      <c r="E132" t="s">
        <v>10</v>
      </c>
      <c r="F132" t="s">
        <v>23</v>
      </c>
      <c r="G132" t="s">
        <v>18</v>
      </c>
      <c r="H132" t="s">
        <v>13</v>
      </c>
    </row>
    <row r="133" spans="1:8" x14ac:dyDescent="0.25">
      <c r="A133" t="s">
        <v>157</v>
      </c>
      <c r="B133" t="s">
        <v>8</v>
      </c>
      <c r="C133" t="s">
        <v>28</v>
      </c>
      <c r="D133" s="1">
        <v>45169</v>
      </c>
      <c r="E133" t="s">
        <v>22</v>
      </c>
      <c r="F133" t="s">
        <v>11</v>
      </c>
      <c r="G133" t="s">
        <v>18</v>
      </c>
      <c r="H133" t="s">
        <v>13</v>
      </c>
    </row>
    <row r="134" spans="1:8" x14ac:dyDescent="0.25">
      <c r="A134" t="s">
        <v>158</v>
      </c>
      <c r="B134" t="s">
        <v>15</v>
      </c>
      <c r="C134" t="s">
        <v>30</v>
      </c>
      <c r="D134" s="1">
        <v>45169</v>
      </c>
      <c r="E134" t="s">
        <v>10</v>
      </c>
      <c r="F134" t="s">
        <v>11</v>
      </c>
      <c r="G134" t="s">
        <v>12</v>
      </c>
      <c r="H134" t="s">
        <v>13</v>
      </c>
    </row>
    <row r="135" spans="1:8" x14ac:dyDescent="0.25">
      <c r="A135" t="s">
        <v>159</v>
      </c>
      <c r="B135" t="s">
        <v>8</v>
      </c>
      <c r="C135" t="s">
        <v>9</v>
      </c>
      <c r="D135" s="1">
        <v>45169</v>
      </c>
      <c r="E135" t="s">
        <v>26</v>
      </c>
      <c r="F135" t="s">
        <v>23</v>
      </c>
      <c r="G135" t="s">
        <v>18</v>
      </c>
      <c r="H135" t="s">
        <v>13</v>
      </c>
    </row>
    <row r="136" spans="1:8" x14ac:dyDescent="0.25">
      <c r="A136" t="s">
        <v>160</v>
      </c>
      <c r="B136" t="s">
        <v>15</v>
      </c>
      <c r="C136" t="s">
        <v>25</v>
      </c>
      <c r="D136" s="1">
        <v>45169</v>
      </c>
      <c r="E136" t="s">
        <v>10</v>
      </c>
      <c r="F136" t="s">
        <v>11</v>
      </c>
      <c r="G136" t="s">
        <v>12</v>
      </c>
      <c r="H136" t="s">
        <v>13</v>
      </c>
    </row>
    <row r="137" spans="1:8" x14ac:dyDescent="0.25">
      <c r="A137" t="s">
        <v>161</v>
      </c>
      <c r="B137" t="s">
        <v>8</v>
      </c>
      <c r="C137" t="s">
        <v>28</v>
      </c>
      <c r="D137" s="1">
        <v>45169</v>
      </c>
      <c r="E137" t="s">
        <v>22</v>
      </c>
      <c r="F137" t="s">
        <v>23</v>
      </c>
      <c r="G137" t="s">
        <v>12</v>
      </c>
      <c r="H137" t="s">
        <v>19</v>
      </c>
    </row>
    <row r="138" spans="1:8" x14ac:dyDescent="0.25">
      <c r="A138" t="s">
        <v>162</v>
      </c>
      <c r="B138" t="s">
        <v>15</v>
      </c>
      <c r="C138" t="s">
        <v>30</v>
      </c>
      <c r="D138" s="1">
        <v>45169</v>
      </c>
      <c r="E138" t="s">
        <v>17</v>
      </c>
      <c r="F138" t="s">
        <v>11</v>
      </c>
      <c r="G138" t="s">
        <v>34</v>
      </c>
      <c r="H138" t="s">
        <v>19</v>
      </c>
    </row>
    <row r="139" spans="1:8" x14ac:dyDescent="0.25">
      <c r="A139" t="s">
        <v>163</v>
      </c>
      <c r="B139" t="s">
        <v>8</v>
      </c>
      <c r="C139" t="s">
        <v>16</v>
      </c>
      <c r="D139" s="1">
        <v>45169</v>
      </c>
      <c r="E139" t="s">
        <v>10</v>
      </c>
      <c r="F139" t="s">
        <v>23</v>
      </c>
      <c r="G139" t="s">
        <v>18</v>
      </c>
      <c r="H139" t="s">
        <v>13</v>
      </c>
    </row>
    <row r="140" spans="1:8" x14ac:dyDescent="0.25">
      <c r="A140" t="s">
        <v>164</v>
      </c>
      <c r="B140" t="s">
        <v>8</v>
      </c>
      <c r="C140" t="s">
        <v>21</v>
      </c>
      <c r="D140" s="1">
        <v>45169</v>
      </c>
      <c r="E140" t="s">
        <v>22</v>
      </c>
      <c r="F140" t="s">
        <v>11</v>
      </c>
      <c r="G140" t="s">
        <v>18</v>
      </c>
      <c r="H140" t="s">
        <v>13</v>
      </c>
    </row>
    <row r="141" spans="1:8" x14ac:dyDescent="0.25">
      <c r="A141" t="s">
        <v>165</v>
      </c>
      <c r="B141" t="s">
        <v>15</v>
      </c>
      <c r="C141" t="s">
        <v>25</v>
      </c>
      <c r="D141" s="1">
        <v>45169</v>
      </c>
      <c r="E141" t="s">
        <v>10</v>
      </c>
      <c r="F141" t="s">
        <v>11</v>
      </c>
      <c r="G141" t="s">
        <v>12</v>
      </c>
      <c r="H141" t="s">
        <v>13</v>
      </c>
    </row>
    <row r="142" spans="1:8" x14ac:dyDescent="0.25">
      <c r="A142" t="s">
        <v>166</v>
      </c>
      <c r="B142" t="s">
        <v>15</v>
      </c>
      <c r="C142" t="s">
        <v>16</v>
      </c>
      <c r="D142" s="1">
        <v>45148</v>
      </c>
      <c r="E142" t="s">
        <v>10</v>
      </c>
      <c r="F142" t="s">
        <v>23</v>
      </c>
      <c r="G142" t="s">
        <v>18</v>
      </c>
      <c r="H142" t="s">
        <v>13</v>
      </c>
    </row>
    <row r="143" spans="1:8" x14ac:dyDescent="0.25">
      <c r="A143" t="s">
        <v>167</v>
      </c>
      <c r="B143" t="s">
        <v>8</v>
      </c>
      <c r="C143" t="s">
        <v>21</v>
      </c>
      <c r="D143" s="1">
        <v>45153</v>
      </c>
      <c r="E143" t="s">
        <v>17</v>
      </c>
      <c r="F143" t="s">
        <v>11</v>
      </c>
      <c r="G143" t="s">
        <v>34</v>
      </c>
      <c r="H143" t="s">
        <v>19</v>
      </c>
    </row>
    <row r="144" spans="1:8" x14ac:dyDescent="0.25">
      <c r="A144" t="s">
        <v>168</v>
      </c>
      <c r="B144" t="s">
        <v>15</v>
      </c>
      <c r="C144" t="s">
        <v>25</v>
      </c>
      <c r="D144" s="1">
        <v>45158</v>
      </c>
      <c r="E144" t="s">
        <v>22</v>
      </c>
      <c r="F144" t="s">
        <v>23</v>
      </c>
      <c r="G144" t="s">
        <v>18</v>
      </c>
      <c r="H144" t="s">
        <v>13</v>
      </c>
    </row>
    <row r="145" spans="1:8" x14ac:dyDescent="0.25">
      <c r="A145" t="s">
        <v>169</v>
      </c>
      <c r="B145" t="s">
        <v>8</v>
      </c>
      <c r="C145" t="s">
        <v>28</v>
      </c>
      <c r="D145" s="1">
        <v>45163</v>
      </c>
      <c r="E145" t="s">
        <v>10</v>
      </c>
      <c r="F145" t="s">
        <v>11</v>
      </c>
      <c r="G145" t="s">
        <v>12</v>
      </c>
      <c r="H145" t="s">
        <v>13</v>
      </c>
    </row>
    <row r="146" spans="1:8" x14ac:dyDescent="0.25">
      <c r="A146" t="s">
        <v>170</v>
      </c>
      <c r="B146" t="s">
        <v>8</v>
      </c>
      <c r="C146" t="s">
        <v>30</v>
      </c>
      <c r="D146" s="1">
        <v>45169</v>
      </c>
      <c r="E146" t="s">
        <v>10</v>
      </c>
      <c r="F146" t="s">
        <v>23</v>
      </c>
      <c r="G146" t="s">
        <v>18</v>
      </c>
      <c r="H146" t="s">
        <v>13</v>
      </c>
    </row>
    <row r="147" spans="1:8" x14ac:dyDescent="0.25">
      <c r="A147" t="s">
        <v>171</v>
      </c>
      <c r="B147" t="s">
        <v>8</v>
      </c>
      <c r="C147" t="s">
        <v>9</v>
      </c>
      <c r="D147" s="1">
        <v>45146</v>
      </c>
      <c r="E147" t="s">
        <v>26</v>
      </c>
      <c r="F147" t="s">
        <v>23</v>
      </c>
      <c r="G147" t="s">
        <v>18</v>
      </c>
      <c r="H147" t="s">
        <v>13</v>
      </c>
    </row>
    <row r="148" spans="1:8" x14ac:dyDescent="0.25">
      <c r="A148" t="s">
        <v>172</v>
      </c>
      <c r="B148" t="s">
        <v>15</v>
      </c>
      <c r="C148" t="s">
        <v>25</v>
      </c>
      <c r="D148" s="1">
        <v>45151</v>
      </c>
      <c r="E148" t="s">
        <v>17</v>
      </c>
      <c r="F148" t="s">
        <v>11</v>
      </c>
      <c r="G148" t="s">
        <v>12</v>
      </c>
      <c r="H148" t="s">
        <v>13</v>
      </c>
    </row>
    <row r="149" spans="1:8" x14ac:dyDescent="0.25">
      <c r="A149" t="s">
        <v>173</v>
      </c>
      <c r="B149" t="s">
        <v>8</v>
      </c>
      <c r="C149" t="s">
        <v>28</v>
      </c>
      <c r="D149" s="1">
        <v>45156</v>
      </c>
      <c r="E149" t="s">
        <v>10</v>
      </c>
      <c r="F149" t="s">
        <v>11</v>
      </c>
      <c r="G149" t="s">
        <v>12</v>
      </c>
      <c r="H149" t="s">
        <v>19</v>
      </c>
    </row>
    <row r="150" spans="1:8" x14ac:dyDescent="0.25">
      <c r="A150" t="s">
        <v>174</v>
      </c>
      <c r="B150" t="s">
        <v>15</v>
      </c>
      <c r="C150" t="s">
        <v>30</v>
      </c>
      <c r="D150" s="1">
        <v>45161</v>
      </c>
      <c r="E150" t="s">
        <v>22</v>
      </c>
      <c r="F150" t="s">
        <v>23</v>
      </c>
      <c r="G150" t="s">
        <v>18</v>
      </c>
      <c r="H150" t="s">
        <v>13</v>
      </c>
    </row>
    <row r="151" spans="1:8" x14ac:dyDescent="0.25">
      <c r="A151" t="s">
        <v>175</v>
      </c>
      <c r="B151" t="s">
        <v>8</v>
      </c>
      <c r="C151" t="s">
        <v>9</v>
      </c>
      <c r="D151" s="1">
        <v>45166</v>
      </c>
      <c r="E151" t="s">
        <v>10</v>
      </c>
      <c r="F151" t="s">
        <v>11</v>
      </c>
      <c r="G151" t="s">
        <v>12</v>
      </c>
      <c r="H151" t="s">
        <v>13</v>
      </c>
    </row>
    <row r="152" spans="1:8" x14ac:dyDescent="0.25">
      <c r="A152" t="s">
        <v>176</v>
      </c>
      <c r="B152" t="s">
        <v>8</v>
      </c>
      <c r="C152" t="s">
        <v>21</v>
      </c>
      <c r="D152" s="1">
        <v>45143</v>
      </c>
      <c r="E152" t="s">
        <v>22</v>
      </c>
      <c r="F152" t="s">
        <v>11</v>
      </c>
      <c r="G152" t="s">
        <v>18</v>
      </c>
      <c r="H152" t="s">
        <v>13</v>
      </c>
    </row>
    <row r="153" spans="1:8" x14ac:dyDescent="0.25">
      <c r="A153" t="s">
        <v>177</v>
      </c>
      <c r="B153" t="s">
        <v>15</v>
      </c>
      <c r="C153" t="s">
        <v>25</v>
      </c>
      <c r="D153" s="1">
        <v>45148</v>
      </c>
      <c r="E153" t="s">
        <v>10</v>
      </c>
      <c r="F153" t="s">
        <v>23</v>
      </c>
      <c r="G153" t="s">
        <v>18</v>
      </c>
      <c r="H153" t="s">
        <v>13</v>
      </c>
    </row>
    <row r="154" spans="1:8" x14ac:dyDescent="0.25">
      <c r="A154" t="s">
        <v>178</v>
      </c>
      <c r="B154" t="s">
        <v>8</v>
      </c>
      <c r="C154" t="s">
        <v>28</v>
      </c>
      <c r="D154" s="1">
        <v>45153</v>
      </c>
      <c r="E154" t="s">
        <v>26</v>
      </c>
      <c r="F154" t="s">
        <v>23</v>
      </c>
      <c r="G154" t="s">
        <v>12</v>
      </c>
      <c r="H154" t="s">
        <v>13</v>
      </c>
    </row>
    <row r="155" spans="1:8" x14ac:dyDescent="0.25">
      <c r="A155" t="s">
        <v>179</v>
      </c>
      <c r="B155" t="s">
        <v>15</v>
      </c>
      <c r="C155" t="s">
        <v>30</v>
      </c>
      <c r="D155" s="1">
        <v>45158</v>
      </c>
      <c r="E155" t="s">
        <v>10</v>
      </c>
      <c r="F155" t="s">
        <v>11</v>
      </c>
      <c r="G155" t="s">
        <v>12</v>
      </c>
      <c r="H155" t="s">
        <v>13</v>
      </c>
    </row>
    <row r="156" spans="1:8" x14ac:dyDescent="0.25">
      <c r="A156" t="s">
        <v>180</v>
      </c>
      <c r="B156" t="s">
        <v>8</v>
      </c>
      <c r="C156" t="s">
        <v>9</v>
      </c>
      <c r="D156" s="1">
        <v>45163</v>
      </c>
      <c r="E156" t="s">
        <v>22</v>
      </c>
      <c r="F156" t="s">
        <v>11</v>
      </c>
      <c r="G156" t="s">
        <v>18</v>
      </c>
      <c r="H156" t="s">
        <v>19</v>
      </c>
    </row>
    <row r="157" spans="1:8" x14ac:dyDescent="0.25">
      <c r="A157" t="s">
        <v>181</v>
      </c>
      <c r="B157" t="s">
        <v>15</v>
      </c>
      <c r="C157" t="s">
        <v>25</v>
      </c>
      <c r="D157" s="1">
        <v>45169</v>
      </c>
      <c r="E157" t="s">
        <v>17</v>
      </c>
      <c r="F157" t="s">
        <v>23</v>
      </c>
      <c r="G157" t="s">
        <v>34</v>
      </c>
      <c r="H157" t="s">
        <v>19</v>
      </c>
    </row>
    <row r="158" spans="1:8" x14ac:dyDescent="0.25">
      <c r="A158" t="s">
        <v>182</v>
      </c>
      <c r="B158" t="s">
        <v>8</v>
      </c>
      <c r="C158" t="s">
        <v>28</v>
      </c>
      <c r="D158" s="1">
        <v>45146</v>
      </c>
      <c r="E158" t="s">
        <v>10</v>
      </c>
      <c r="F158" t="s">
        <v>23</v>
      </c>
      <c r="G158" t="s">
        <v>18</v>
      </c>
      <c r="H158" t="s">
        <v>13</v>
      </c>
    </row>
    <row r="159" spans="1:8" x14ac:dyDescent="0.25">
      <c r="A159" t="s">
        <v>183</v>
      </c>
      <c r="B159" t="s">
        <v>8</v>
      </c>
      <c r="C159" t="s">
        <v>30</v>
      </c>
      <c r="D159" s="1">
        <v>45151</v>
      </c>
      <c r="E159" t="s">
        <v>22</v>
      </c>
      <c r="F159" t="s">
        <v>11</v>
      </c>
      <c r="G159" t="s">
        <v>18</v>
      </c>
      <c r="H159" t="s">
        <v>13</v>
      </c>
    </row>
    <row r="160" spans="1:8" x14ac:dyDescent="0.25">
      <c r="A160" t="s">
        <v>184</v>
      </c>
      <c r="B160" t="s">
        <v>15</v>
      </c>
      <c r="C160" t="s">
        <v>9</v>
      </c>
      <c r="D160" s="1">
        <v>45156</v>
      </c>
      <c r="E160" t="s">
        <v>10</v>
      </c>
      <c r="F160" t="s">
        <v>11</v>
      </c>
      <c r="G160" t="s">
        <v>12</v>
      </c>
      <c r="H160" t="s">
        <v>13</v>
      </c>
    </row>
    <row r="161" spans="1:8" x14ac:dyDescent="0.25">
      <c r="A161" t="s">
        <v>185</v>
      </c>
      <c r="B161" t="s">
        <v>8</v>
      </c>
      <c r="C161" t="s">
        <v>25</v>
      </c>
      <c r="D161" s="1">
        <v>45161</v>
      </c>
      <c r="E161" t="s">
        <v>26</v>
      </c>
      <c r="F161" t="s">
        <v>23</v>
      </c>
      <c r="G161" t="s">
        <v>18</v>
      </c>
      <c r="H161" t="s">
        <v>19</v>
      </c>
    </row>
    <row r="162" spans="1:8" x14ac:dyDescent="0.25">
      <c r="A162" t="s">
        <v>186</v>
      </c>
      <c r="B162" t="s">
        <v>15</v>
      </c>
      <c r="C162" t="s">
        <v>28</v>
      </c>
      <c r="D162" s="1">
        <v>45166</v>
      </c>
      <c r="E162" t="s">
        <v>17</v>
      </c>
      <c r="F162" t="s">
        <v>11</v>
      </c>
      <c r="G162" t="s">
        <v>12</v>
      </c>
      <c r="H162" t="s">
        <v>13</v>
      </c>
    </row>
    <row r="163" spans="1:8" x14ac:dyDescent="0.25">
      <c r="A163" t="s">
        <v>187</v>
      </c>
      <c r="B163" t="s">
        <v>8</v>
      </c>
      <c r="C163" t="s">
        <v>30</v>
      </c>
      <c r="D163" s="1">
        <v>45144</v>
      </c>
      <c r="E163" t="s">
        <v>10</v>
      </c>
      <c r="F163" t="s">
        <v>23</v>
      </c>
      <c r="G163" t="s">
        <v>18</v>
      </c>
      <c r="H163" t="s">
        <v>13</v>
      </c>
    </row>
    <row r="164" spans="1:8" x14ac:dyDescent="0.25">
      <c r="A164" t="s">
        <v>188</v>
      </c>
      <c r="B164" t="s">
        <v>15</v>
      </c>
      <c r="C164" t="s">
        <v>9</v>
      </c>
      <c r="D164" s="1">
        <v>45149</v>
      </c>
      <c r="E164" t="s">
        <v>22</v>
      </c>
      <c r="F164" t="s">
        <v>11</v>
      </c>
      <c r="G164" t="s">
        <v>12</v>
      </c>
      <c r="H164" t="s">
        <v>13</v>
      </c>
    </row>
    <row r="165" spans="1:8" x14ac:dyDescent="0.25">
      <c r="A165" t="s">
        <v>189</v>
      </c>
      <c r="B165" t="s">
        <v>8</v>
      </c>
      <c r="C165" t="s">
        <v>25</v>
      </c>
      <c r="D165" s="1">
        <v>45154</v>
      </c>
      <c r="E165" t="s">
        <v>10</v>
      </c>
      <c r="F165" t="s">
        <v>11</v>
      </c>
      <c r="G165" t="s">
        <v>12</v>
      </c>
      <c r="H165" t="s">
        <v>13</v>
      </c>
    </row>
    <row r="166" spans="1:8" x14ac:dyDescent="0.25">
      <c r="A166" t="s">
        <v>190</v>
      </c>
      <c r="B166" t="s">
        <v>15</v>
      </c>
      <c r="C166" t="s">
        <v>28</v>
      </c>
      <c r="D166" s="1">
        <v>45159</v>
      </c>
      <c r="E166" t="s">
        <v>17</v>
      </c>
      <c r="F166" t="s">
        <v>23</v>
      </c>
      <c r="G166" t="s">
        <v>34</v>
      </c>
      <c r="H166" t="s">
        <v>19</v>
      </c>
    </row>
    <row r="167" spans="1:8" x14ac:dyDescent="0.25">
      <c r="A167" t="s">
        <v>191</v>
      </c>
      <c r="B167" t="s">
        <v>8</v>
      </c>
      <c r="C167" t="s">
        <v>30</v>
      </c>
      <c r="D167" s="1">
        <v>45164</v>
      </c>
      <c r="E167" t="s">
        <v>10</v>
      </c>
      <c r="F167" t="s">
        <v>11</v>
      </c>
      <c r="G167" t="s">
        <v>18</v>
      </c>
      <c r="H167" t="s">
        <v>13</v>
      </c>
    </row>
    <row r="168" spans="1:8" x14ac:dyDescent="0.25">
      <c r="A168" t="s">
        <v>192</v>
      </c>
      <c r="B168" t="s">
        <v>15</v>
      </c>
      <c r="C168" t="s">
        <v>9</v>
      </c>
      <c r="D168" s="1">
        <v>45169</v>
      </c>
      <c r="E168" t="s">
        <v>22</v>
      </c>
      <c r="F168" t="s">
        <v>11</v>
      </c>
      <c r="G168" t="s">
        <v>12</v>
      </c>
      <c r="H168" t="s">
        <v>13</v>
      </c>
    </row>
    <row r="169" spans="1:8" x14ac:dyDescent="0.25">
      <c r="A169" t="s">
        <v>193</v>
      </c>
      <c r="B169" t="s">
        <v>8</v>
      </c>
      <c r="C169" t="s">
        <v>25</v>
      </c>
      <c r="D169" s="1">
        <v>45145</v>
      </c>
      <c r="E169" t="s">
        <v>10</v>
      </c>
      <c r="F169" t="s">
        <v>23</v>
      </c>
      <c r="G169" t="s">
        <v>18</v>
      </c>
      <c r="H169" t="s">
        <v>19</v>
      </c>
    </row>
    <row r="170" spans="1:8" x14ac:dyDescent="0.25">
      <c r="A170" t="s">
        <v>194</v>
      </c>
      <c r="B170" t="s">
        <v>15</v>
      </c>
      <c r="C170" t="s">
        <v>28</v>
      </c>
      <c r="D170" s="1">
        <v>45150</v>
      </c>
      <c r="E170" t="s">
        <v>26</v>
      </c>
      <c r="F170" t="s">
        <v>23</v>
      </c>
      <c r="G170" t="s">
        <v>18</v>
      </c>
      <c r="H170" t="s">
        <v>13</v>
      </c>
    </row>
    <row r="171" spans="1:8" x14ac:dyDescent="0.25">
      <c r="A171" t="s">
        <v>195</v>
      </c>
      <c r="B171" t="s">
        <v>8</v>
      </c>
      <c r="C171" t="s">
        <v>30</v>
      </c>
      <c r="D171" s="1">
        <v>45155</v>
      </c>
      <c r="E171" t="s">
        <v>17</v>
      </c>
      <c r="F171" t="s">
        <v>11</v>
      </c>
      <c r="G171" t="s">
        <v>12</v>
      </c>
      <c r="H171" t="s">
        <v>13</v>
      </c>
    </row>
    <row r="172" spans="1:8" x14ac:dyDescent="0.25">
      <c r="A172" t="s">
        <v>196</v>
      </c>
      <c r="B172" t="s">
        <v>15</v>
      </c>
      <c r="C172" t="s">
        <v>9</v>
      </c>
      <c r="D172" s="1">
        <v>45160</v>
      </c>
      <c r="E172" t="s">
        <v>10</v>
      </c>
      <c r="F172" t="s">
        <v>11</v>
      </c>
      <c r="G172" t="s">
        <v>12</v>
      </c>
      <c r="H172" t="s">
        <v>13</v>
      </c>
    </row>
    <row r="173" spans="1:8" x14ac:dyDescent="0.25">
      <c r="A173" t="s">
        <v>197</v>
      </c>
      <c r="B173" t="s">
        <v>8</v>
      </c>
      <c r="C173" t="s">
        <v>25</v>
      </c>
      <c r="D173" s="1">
        <v>45165</v>
      </c>
      <c r="E173" t="s">
        <v>22</v>
      </c>
      <c r="F173" t="s">
        <v>23</v>
      </c>
      <c r="G173" t="s">
        <v>34</v>
      </c>
      <c r="H173" t="s">
        <v>13</v>
      </c>
    </row>
    <row r="174" spans="1:8" x14ac:dyDescent="0.25">
      <c r="A174" t="s">
        <v>198</v>
      </c>
      <c r="B174" t="s">
        <v>15</v>
      </c>
      <c r="C174" t="s">
        <v>28</v>
      </c>
      <c r="D174" s="1">
        <v>45141</v>
      </c>
      <c r="E174" t="s">
        <v>10</v>
      </c>
      <c r="F174" t="s">
        <v>11</v>
      </c>
      <c r="G174" t="s">
        <v>12</v>
      </c>
      <c r="H174" t="s">
        <v>13</v>
      </c>
    </row>
    <row r="175" spans="1:8" x14ac:dyDescent="0.25">
      <c r="A175" t="s">
        <v>199</v>
      </c>
      <c r="B175" t="s">
        <v>8</v>
      </c>
      <c r="C175" t="s">
        <v>30</v>
      </c>
      <c r="D175" s="1">
        <v>45146</v>
      </c>
      <c r="E175" t="s">
        <v>22</v>
      </c>
      <c r="F175" t="s">
        <v>23</v>
      </c>
      <c r="G175" t="s">
        <v>18</v>
      </c>
      <c r="H175" t="s">
        <v>13</v>
      </c>
    </row>
    <row r="176" spans="1:8" x14ac:dyDescent="0.25">
      <c r="A176" t="s">
        <v>200</v>
      </c>
      <c r="B176" t="s">
        <v>15</v>
      </c>
      <c r="C176" t="s">
        <v>9</v>
      </c>
      <c r="D176" s="1">
        <v>45151</v>
      </c>
      <c r="E176" t="s">
        <v>10</v>
      </c>
      <c r="F176" t="s">
        <v>11</v>
      </c>
      <c r="G176" t="s">
        <v>12</v>
      </c>
      <c r="H176" t="s">
        <v>19</v>
      </c>
    </row>
    <row r="177" spans="1:8" x14ac:dyDescent="0.25">
      <c r="A177" t="s">
        <v>201</v>
      </c>
      <c r="B177" t="s">
        <v>8</v>
      </c>
      <c r="C177" t="s">
        <v>25</v>
      </c>
      <c r="D177" s="1">
        <v>45156</v>
      </c>
      <c r="E177" t="s">
        <v>17</v>
      </c>
      <c r="F177" t="s">
        <v>11</v>
      </c>
      <c r="G177" t="s">
        <v>18</v>
      </c>
      <c r="H177" t="s">
        <v>13</v>
      </c>
    </row>
    <row r="178" spans="1:8" x14ac:dyDescent="0.25">
      <c r="A178" t="s">
        <v>202</v>
      </c>
      <c r="B178" t="s">
        <v>15</v>
      </c>
      <c r="C178" t="s">
        <v>28</v>
      </c>
      <c r="D178" s="1">
        <v>45161</v>
      </c>
      <c r="E178" t="s">
        <v>10</v>
      </c>
      <c r="F178" t="s">
        <v>23</v>
      </c>
      <c r="G178" t="s">
        <v>12</v>
      </c>
      <c r="H178" t="s">
        <v>13</v>
      </c>
    </row>
    <row r="179" spans="1:8" x14ac:dyDescent="0.25">
      <c r="A179" t="s">
        <v>203</v>
      </c>
      <c r="B179" t="s">
        <v>8</v>
      </c>
      <c r="C179" t="s">
        <v>30</v>
      </c>
      <c r="D179" s="1">
        <v>45166</v>
      </c>
      <c r="E179" t="s">
        <v>22</v>
      </c>
      <c r="F179" t="s">
        <v>11</v>
      </c>
      <c r="G179" t="s">
        <v>18</v>
      </c>
      <c r="H179" t="s">
        <v>13</v>
      </c>
    </row>
    <row r="180" spans="1:8" x14ac:dyDescent="0.25">
      <c r="A180" t="s">
        <v>204</v>
      </c>
      <c r="B180" t="s">
        <v>15</v>
      </c>
      <c r="C180" t="s">
        <v>9</v>
      </c>
      <c r="D180" s="1">
        <v>45142</v>
      </c>
      <c r="E180" t="s">
        <v>10</v>
      </c>
      <c r="F180" t="s">
        <v>11</v>
      </c>
      <c r="G180" t="s">
        <v>12</v>
      </c>
      <c r="H180" t="s">
        <v>13</v>
      </c>
    </row>
    <row r="181" spans="1:8" x14ac:dyDescent="0.25">
      <c r="A181" t="s">
        <v>205</v>
      </c>
      <c r="B181" t="s">
        <v>8</v>
      </c>
      <c r="C181" t="s">
        <v>25</v>
      </c>
      <c r="D181" s="1">
        <v>45147</v>
      </c>
      <c r="E181" t="s">
        <v>26</v>
      </c>
      <c r="F181" t="s">
        <v>23</v>
      </c>
      <c r="G181" t="s">
        <v>18</v>
      </c>
      <c r="H181" t="s">
        <v>13</v>
      </c>
    </row>
    <row r="182" spans="1:8" x14ac:dyDescent="0.25">
      <c r="A182" t="s">
        <v>206</v>
      </c>
      <c r="B182" t="s">
        <v>15</v>
      </c>
      <c r="C182" t="s">
        <v>28</v>
      </c>
      <c r="D182" s="1">
        <v>45152</v>
      </c>
      <c r="E182" t="s">
        <v>10</v>
      </c>
      <c r="F182" t="s">
        <v>11</v>
      </c>
      <c r="G182" t="s">
        <v>12</v>
      </c>
      <c r="H182" t="s">
        <v>13</v>
      </c>
    </row>
    <row r="183" spans="1:8" x14ac:dyDescent="0.25">
      <c r="A183" t="s">
        <v>207</v>
      </c>
      <c r="B183" t="s">
        <v>8</v>
      </c>
      <c r="C183" t="s">
        <v>30</v>
      </c>
      <c r="D183" s="1">
        <v>45157</v>
      </c>
      <c r="E183" t="s">
        <v>22</v>
      </c>
      <c r="F183" t="s">
        <v>23</v>
      </c>
      <c r="G183" t="s">
        <v>18</v>
      </c>
      <c r="H183" t="s">
        <v>19</v>
      </c>
    </row>
    <row r="184" spans="1:8" x14ac:dyDescent="0.25">
      <c r="A184" t="s">
        <v>208</v>
      </c>
      <c r="B184" t="s">
        <v>15</v>
      </c>
      <c r="C184" t="s">
        <v>9</v>
      </c>
      <c r="D184" s="1">
        <v>45162</v>
      </c>
      <c r="E184" t="s">
        <v>10</v>
      </c>
      <c r="F184" t="s">
        <v>11</v>
      </c>
      <c r="G184" t="s">
        <v>12</v>
      </c>
      <c r="H184" t="s">
        <v>13</v>
      </c>
    </row>
    <row r="185" spans="1:8" x14ac:dyDescent="0.25">
      <c r="A185" t="s">
        <v>209</v>
      </c>
      <c r="B185" t="s">
        <v>8</v>
      </c>
      <c r="C185" t="s">
        <v>25</v>
      </c>
      <c r="D185" s="1">
        <v>45167</v>
      </c>
      <c r="E185" t="s">
        <v>17</v>
      </c>
      <c r="F185" t="s">
        <v>11</v>
      </c>
      <c r="G185" t="s">
        <v>12</v>
      </c>
      <c r="H185" t="s">
        <v>13</v>
      </c>
    </row>
    <row r="186" spans="1:8" x14ac:dyDescent="0.25">
      <c r="A186" t="s">
        <v>210</v>
      </c>
      <c r="B186" t="s">
        <v>15</v>
      </c>
      <c r="C186" t="s">
        <v>28</v>
      </c>
      <c r="D186" s="1">
        <v>45140</v>
      </c>
      <c r="E186" t="s">
        <v>10</v>
      </c>
      <c r="F186" t="s">
        <v>23</v>
      </c>
      <c r="G186" t="s">
        <v>18</v>
      </c>
      <c r="H186" t="s">
        <v>13</v>
      </c>
    </row>
    <row r="187" spans="1:8" x14ac:dyDescent="0.25">
      <c r="A187" t="s">
        <v>211</v>
      </c>
      <c r="B187" t="s">
        <v>8</v>
      </c>
      <c r="C187" t="s">
        <v>30</v>
      </c>
      <c r="D187" s="1">
        <v>45145</v>
      </c>
      <c r="E187" t="s">
        <v>22</v>
      </c>
      <c r="F187" t="s">
        <v>11</v>
      </c>
      <c r="G187" t="s">
        <v>12</v>
      </c>
      <c r="H187" t="s">
        <v>13</v>
      </c>
    </row>
    <row r="188" spans="1:8" x14ac:dyDescent="0.25">
      <c r="A188" t="s">
        <v>212</v>
      </c>
      <c r="B188" t="s">
        <v>15</v>
      </c>
      <c r="C188" t="s">
        <v>9</v>
      </c>
      <c r="D188" s="1">
        <v>45150</v>
      </c>
      <c r="E188" t="s">
        <v>10</v>
      </c>
      <c r="F188" t="s">
        <v>11</v>
      </c>
      <c r="G188" t="s">
        <v>18</v>
      </c>
      <c r="H188" t="s">
        <v>19</v>
      </c>
    </row>
    <row r="189" spans="1:8" x14ac:dyDescent="0.25">
      <c r="A189" t="s">
        <v>213</v>
      </c>
      <c r="B189" t="s">
        <v>8</v>
      </c>
      <c r="C189" t="s">
        <v>25</v>
      </c>
      <c r="D189" s="1">
        <v>45155</v>
      </c>
      <c r="E189" t="s">
        <v>17</v>
      </c>
      <c r="F189" t="s">
        <v>23</v>
      </c>
      <c r="G189" t="s">
        <v>18</v>
      </c>
      <c r="H189" t="s">
        <v>13</v>
      </c>
    </row>
    <row r="190" spans="1:8" x14ac:dyDescent="0.25">
      <c r="A190" t="s">
        <v>214</v>
      </c>
      <c r="B190" t="s">
        <v>15</v>
      </c>
      <c r="C190" t="s">
        <v>28</v>
      </c>
      <c r="D190" s="1">
        <v>45160</v>
      </c>
      <c r="E190" t="s">
        <v>10</v>
      </c>
      <c r="F190" t="s">
        <v>11</v>
      </c>
      <c r="G190" t="s">
        <v>12</v>
      </c>
      <c r="H190" t="s">
        <v>13</v>
      </c>
    </row>
    <row r="191" spans="1:8" x14ac:dyDescent="0.25">
      <c r="A191" t="s">
        <v>215</v>
      </c>
      <c r="B191" t="s">
        <v>8</v>
      </c>
      <c r="C191" t="s">
        <v>30</v>
      </c>
      <c r="D191" s="1">
        <v>45165</v>
      </c>
      <c r="E191" t="s">
        <v>22</v>
      </c>
      <c r="F191" t="s">
        <v>23</v>
      </c>
      <c r="G191" t="s">
        <v>12</v>
      </c>
      <c r="H191" t="s">
        <v>13</v>
      </c>
    </row>
    <row r="192" spans="1:8" x14ac:dyDescent="0.25">
      <c r="A192" t="s">
        <v>216</v>
      </c>
      <c r="B192" t="s">
        <v>15</v>
      </c>
      <c r="C192" t="s">
        <v>9</v>
      </c>
      <c r="D192" s="1">
        <v>45143</v>
      </c>
      <c r="E192" t="s">
        <v>10</v>
      </c>
      <c r="F192" t="s">
        <v>11</v>
      </c>
      <c r="G192" t="s">
        <v>18</v>
      </c>
      <c r="H192" t="s">
        <v>13</v>
      </c>
    </row>
    <row r="193" spans="1:8" x14ac:dyDescent="0.25">
      <c r="A193" t="s">
        <v>217</v>
      </c>
      <c r="B193" t="s">
        <v>8</v>
      </c>
      <c r="C193" t="s">
        <v>25</v>
      </c>
      <c r="D193" s="1">
        <v>45148</v>
      </c>
      <c r="E193" t="s">
        <v>17</v>
      </c>
      <c r="F193" t="s">
        <v>11</v>
      </c>
      <c r="G193" t="s">
        <v>12</v>
      </c>
      <c r="H193" t="s">
        <v>13</v>
      </c>
    </row>
    <row r="194" spans="1:8" x14ac:dyDescent="0.25">
      <c r="A194" t="s">
        <v>218</v>
      </c>
      <c r="B194" t="s">
        <v>15</v>
      </c>
      <c r="C194" t="s">
        <v>28</v>
      </c>
      <c r="D194" s="1">
        <v>45153</v>
      </c>
      <c r="E194" t="s">
        <v>10</v>
      </c>
      <c r="F194" t="s">
        <v>23</v>
      </c>
      <c r="G194" t="s">
        <v>18</v>
      </c>
      <c r="H194" t="s">
        <v>13</v>
      </c>
    </row>
    <row r="195" spans="1:8" x14ac:dyDescent="0.25">
      <c r="A195" t="s">
        <v>219</v>
      </c>
      <c r="B195" t="s">
        <v>8</v>
      </c>
      <c r="C195" t="s">
        <v>30</v>
      </c>
      <c r="D195" s="1">
        <v>45158</v>
      </c>
      <c r="E195" t="s">
        <v>22</v>
      </c>
      <c r="F195" t="s">
        <v>11</v>
      </c>
      <c r="G195" t="s">
        <v>18</v>
      </c>
      <c r="H195" t="s">
        <v>19</v>
      </c>
    </row>
    <row r="196" spans="1:8" x14ac:dyDescent="0.25">
      <c r="A196" t="s">
        <v>220</v>
      </c>
      <c r="B196" t="s">
        <v>15</v>
      </c>
      <c r="C196" t="s">
        <v>9</v>
      </c>
      <c r="D196" s="1">
        <v>45163</v>
      </c>
      <c r="E196" t="s">
        <v>10</v>
      </c>
      <c r="F196" t="s">
        <v>11</v>
      </c>
      <c r="G196" t="s">
        <v>12</v>
      </c>
      <c r="H196" t="s">
        <v>13</v>
      </c>
    </row>
    <row r="197" spans="1:8" x14ac:dyDescent="0.25">
      <c r="A197" t="s">
        <v>221</v>
      </c>
      <c r="B197" t="s">
        <v>8</v>
      </c>
      <c r="C197" t="s">
        <v>25</v>
      </c>
      <c r="D197" s="1">
        <v>45168</v>
      </c>
      <c r="E197" t="s">
        <v>26</v>
      </c>
      <c r="F197" t="s">
        <v>23</v>
      </c>
      <c r="G197" t="s">
        <v>18</v>
      </c>
      <c r="H197" t="s">
        <v>13</v>
      </c>
    </row>
    <row r="198" spans="1:8" x14ac:dyDescent="0.25">
      <c r="A198" t="s">
        <v>222</v>
      </c>
      <c r="B198" t="s">
        <v>15</v>
      </c>
      <c r="C198" t="s">
        <v>28</v>
      </c>
      <c r="D198" s="1">
        <v>45139</v>
      </c>
      <c r="E198" t="s">
        <v>17</v>
      </c>
      <c r="F198" t="s">
        <v>11</v>
      </c>
      <c r="G198" t="s">
        <v>12</v>
      </c>
      <c r="H198" t="s">
        <v>19</v>
      </c>
    </row>
    <row r="199" spans="1:8" x14ac:dyDescent="0.25">
      <c r="A199" t="s">
        <v>223</v>
      </c>
      <c r="B199" t="s">
        <v>8</v>
      </c>
      <c r="C199" t="s">
        <v>30</v>
      </c>
      <c r="D199" s="1">
        <v>45144</v>
      </c>
      <c r="E199" t="s">
        <v>10</v>
      </c>
      <c r="F199" t="s">
        <v>23</v>
      </c>
      <c r="G199" t="s">
        <v>18</v>
      </c>
      <c r="H199" t="s">
        <v>13</v>
      </c>
    </row>
    <row r="200" spans="1:8" x14ac:dyDescent="0.25">
      <c r="A200" t="s">
        <v>224</v>
      </c>
      <c r="B200" t="s">
        <v>15</v>
      </c>
      <c r="C200" t="s">
        <v>9</v>
      </c>
      <c r="D200" s="1">
        <v>45149</v>
      </c>
      <c r="E200" t="s">
        <v>22</v>
      </c>
      <c r="F200" t="s">
        <v>11</v>
      </c>
      <c r="G200" t="s">
        <v>12</v>
      </c>
      <c r="H200" t="s">
        <v>13</v>
      </c>
    </row>
    <row r="201" spans="1:8" x14ac:dyDescent="0.25">
      <c r="A201" t="s">
        <v>225</v>
      </c>
      <c r="B201" t="s">
        <v>8</v>
      </c>
      <c r="C201" t="s">
        <v>25</v>
      </c>
      <c r="D201" s="1">
        <v>45154</v>
      </c>
      <c r="E201" t="s">
        <v>10</v>
      </c>
      <c r="F201" t="s">
        <v>11</v>
      </c>
      <c r="G201" t="s">
        <v>12</v>
      </c>
      <c r="H201" t="s">
        <v>13</v>
      </c>
    </row>
    <row r="202" spans="1:8" x14ac:dyDescent="0.25">
      <c r="A202" t="s">
        <v>226</v>
      </c>
      <c r="B202" t="s">
        <v>8</v>
      </c>
      <c r="C202" t="s">
        <v>30</v>
      </c>
      <c r="D202" s="1">
        <v>45159</v>
      </c>
      <c r="E202" t="s">
        <v>22</v>
      </c>
      <c r="F202" t="s">
        <v>11</v>
      </c>
      <c r="G202" t="s">
        <v>12</v>
      </c>
      <c r="H202" t="s">
        <v>19</v>
      </c>
    </row>
    <row r="203" spans="1:8" x14ac:dyDescent="0.25">
      <c r="A203" t="s">
        <v>227</v>
      </c>
      <c r="B203" t="s">
        <v>15</v>
      </c>
      <c r="C203" t="s">
        <v>9</v>
      </c>
      <c r="D203" s="1">
        <v>45164</v>
      </c>
      <c r="E203" t="s">
        <v>10</v>
      </c>
      <c r="F203" t="s">
        <v>11</v>
      </c>
      <c r="G203" t="s">
        <v>18</v>
      </c>
      <c r="H203" t="s">
        <v>13</v>
      </c>
    </row>
    <row r="204" spans="1:8" x14ac:dyDescent="0.25">
      <c r="A204" t="s">
        <v>228</v>
      </c>
      <c r="B204" t="s">
        <v>8</v>
      </c>
      <c r="C204" t="s">
        <v>25</v>
      </c>
      <c r="D204" s="1">
        <v>45169</v>
      </c>
      <c r="E204" t="s">
        <v>17</v>
      </c>
      <c r="F204" t="s">
        <v>23</v>
      </c>
      <c r="G204" t="s">
        <v>34</v>
      </c>
      <c r="H204" t="s">
        <v>19</v>
      </c>
    </row>
    <row r="205" spans="1:8" x14ac:dyDescent="0.25">
      <c r="A205" t="s">
        <v>229</v>
      </c>
      <c r="B205" t="s">
        <v>15</v>
      </c>
      <c r="C205" t="s">
        <v>28</v>
      </c>
      <c r="D205" s="1">
        <v>45146</v>
      </c>
      <c r="E205" t="s">
        <v>10</v>
      </c>
      <c r="F205" t="s">
        <v>23</v>
      </c>
      <c r="G205" t="s">
        <v>18</v>
      </c>
      <c r="H205" t="s">
        <v>13</v>
      </c>
    </row>
    <row r="206" spans="1:8" x14ac:dyDescent="0.25">
      <c r="A206" t="s">
        <v>230</v>
      </c>
      <c r="B206" t="s">
        <v>8</v>
      </c>
      <c r="C206" t="s">
        <v>30</v>
      </c>
      <c r="D206" s="1">
        <v>45151</v>
      </c>
      <c r="E206" t="s">
        <v>22</v>
      </c>
      <c r="F206" t="s">
        <v>11</v>
      </c>
      <c r="G206" t="s">
        <v>18</v>
      </c>
      <c r="H206" t="s">
        <v>13</v>
      </c>
    </row>
    <row r="207" spans="1:8" x14ac:dyDescent="0.25">
      <c r="A207" t="s">
        <v>231</v>
      </c>
      <c r="B207" t="s">
        <v>15</v>
      </c>
      <c r="C207" t="s">
        <v>9</v>
      </c>
      <c r="D207" s="1">
        <v>45156</v>
      </c>
      <c r="E207" t="s">
        <v>10</v>
      </c>
      <c r="F207" t="s">
        <v>11</v>
      </c>
      <c r="G207" t="s">
        <v>12</v>
      </c>
      <c r="H207" t="s">
        <v>13</v>
      </c>
    </row>
    <row r="208" spans="1:8" x14ac:dyDescent="0.25">
      <c r="A208" t="s">
        <v>232</v>
      </c>
      <c r="B208" t="s">
        <v>8</v>
      </c>
      <c r="C208" t="s">
        <v>25</v>
      </c>
      <c r="D208" s="1">
        <v>45161</v>
      </c>
      <c r="E208" t="s">
        <v>26</v>
      </c>
      <c r="F208" t="s">
        <v>23</v>
      </c>
      <c r="G208" t="s">
        <v>18</v>
      </c>
      <c r="H208" t="s">
        <v>19</v>
      </c>
    </row>
    <row r="209" spans="1:8" x14ac:dyDescent="0.25">
      <c r="A209" t="s">
        <v>233</v>
      </c>
      <c r="B209" t="s">
        <v>15</v>
      </c>
      <c r="C209" t="s">
        <v>28</v>
      </c>
      <c r="D209" s="1">
        <v>45166</v>
      </c>
      <c r="E209" t="s">
        <v>17</v>
      </c>
      <c r="F209" t="s">
        <v>11</v>
      </c>
      <c r="G209" t="s">
        <v>12</v>
      </c>
      <c r="H209" t="s">
        <v>13</v>
      </c>
    </row>
    <row r="210" spans="1:8" x14ac:dyDescent="0.25">
      <c r="A210" t="s">
        <v>234</v>
      </c>
      <c r="B210" t="s">
        <v>8</v>
      </c>
      <c r="C210" t="s">
        <v>30</v>
      </c>
      <c r="D210" s="1">
        <v>45144</v>
      </c>
      <c r="E210" t="s">
        <v>10</v>
      </c>
      <c r="F210" t="s">
        <v>23</v>
      </c>
      <c r="G210" t="s">
        <v>18</v>
      </c>
      <c r="H210" t="s">
        <v>13</v>
      </c>
    </row>
    <row r="211" spans="1:8" x14ac:dyDescent="0.25">
      <c r="A211" t="s">
        <v>235</v>
      </c>
      <c r="B211" t="s">
        <v>15</v>
      </c>
      <c r="C211" t="s">
        <v>9</v>
      </c>
      <c r="D211" s="1">
        <v>45149</v>
      </c>
      <c r="E211" t="s">
        <v>22</v>
      </c>
      <c r="F211" t="s">
        <v>11</v>
      </c>
      <c r="G211" t="s">
        <v>12</v>
      </c>
      <c r="H211" t="s">
        <v>13</v>
      </c>
    </row>
    <row r="212" spans="1:8" x14ac:dyDescent="0.25">
      <c r="A212" t="s">
        <v>236</v>
      </c>
      <c r="B212" t="s">
        <v>8</v>
      </c>
      <c r="C212" t="s">
        <v>25</v>
      </c>
      <c r="D212" s="1">
        <v>45154</v>
      </c>
      <c r="E212" t="s">
        <v>10</v>
      </c>
      <c r="F212" t="s">
        <v>11</v>
      </c>
      <c r="G212" t="s">
        <v>12</v>
      </c>
      <c r="H212" t="s">
        <v>13</v>
      </c>
    </row>
    <row r="213" spans="1:8" x14ac:dyDescent="0.25">
      <c r="A213" t="s">
        <v>237</v>
      </c>
      <c r="B213" t="s">
        <v>15</v>
      </c>
      <c r="C213" t="s">
        <v>28</v>
      </c>
      <c r="D213" s="1">
        <v>45159</v>
      </c>
      <c r="E213" t="s">
        <v>17</v>
      </c>
      <c r="F213" t="s">
        <v>23</v>
      </c>
      <c r="G213" t="s">
        <v>34</v>
      </c>
      <c r="H213" t="s">
        <v>19</v>
      </c>
    </row>
    <row r="214" spans="1:8" x14ac:dyDescent="0.25">
      <c r="A214" t="s">
        <v>238</v>
      </c>
      <c r="B214" t="s">
        <v>8</v>
      </c>
      <c r="C214" t="s">
        <v>30</v>
      </c>
      <c r="D214" s="1">
        <v>45164</v>
      </c>
      <c r="E214" t="s">
        <v>10</v>
      </c>
      <c r="F214" t="s">
        <v>11</v>
      </c>
      <c r="G214" t="s">
        <v>18</v>
      </c>
      <c r="H214" t="s">
        <v>13</v>
      </c>
    </row>
    <row r="215" spans="1:8" x14ac:dyDescent="0.25">
      <c r="A215" t="s">
        <v>239</v>
      </c>
      <c r="B215" t="s">
        <v>15</v>
      </c>
      <c r="C215" t="s">
        <v>9</v>
      </c>
      <c r="D215" s="1">
        <v>45169</v>
      </c>
      <c r="E215" t="s">
        <v>22</v>
      </c>
      <c r="F215" t="s">
        <v>11</v>
      </c>
      <c r="G215" t="s">
        <v>12</v>
      </c>
      <c r="H215" t="s">
        <v>13</v>
      </c>
    </row>
    <row r="216" spans="1:8" x14ac:dyDescent="0.25">
      <c r="A216" t="s">
        <v>240</v>
      </c>
      <c r="B216" t="s">
        <v>8</v>
      </c>
      <c r="C216" t="s">
        <v>25</v>
      </c>
      <c r="D216" s="1">
        <v>45145</v>
      </c>
      <c r="E216" t="s">
        <v>10</v>
      </c>
      <c r="F216" t="s">
        <v>23</v>
      </c>
      <c r="G216" t="s">
        <v>18</v>
      </c>
      <c r="H216" t="s">
        <v>19</v>
      </c>
    </row>
    <row r="217" spans="1:8" x14ac:dyDescent="0.25">
      <c r="A217" t="s">
        <v>241</v>
      </c>
      <c r="B217" t="s">
        <v>15</v>
      </c>
      <c r="C217" t="s">
        <v>28</v>
      </c>
      <c r="D217" s="1">
        <v>45150</v>
      </c>
      <c r="E217" t="s">
        <v>26</v>
      </c>
      <c r="F217" t="s">
        <v>23</v>
      </c>
      <c r="G217" t="s">
        <v>18</v>
      </c>
      <c r="H217" t="s">
        <v>13</v>
      </c>
    </row>
    <row r="218" spans="1:8" x14ac:dyDescent="0.25">
      <c r="A218" t="s">
        <v>242</v>
      </c>
      <c r="B218" t="s">
        <v>8</v>
      </c>
      <c r="C218" t="s">
        <v>30</v>
      </c>
      <c r="D218" s="1">
        <v>45155</v>
      </c>
      <c r="E218" t="s">
        <v>17</v>
      </c>
      <c r="F218" t="s">
        <v>11</v>
      </c>
      <c r="G218" t="s">
        <v>12</v>
      </c>
      <c r="H218" t="s">
        <v>13</v>
      </c>
    </row>
    <row r="219" spans="1:8" x14ac:dyDescent="0.25">
      <c r="A219" t="s">
        <v>243</v>
      </c>
      <c r="B219" t="s">
        <v>15</v>
      </c>
      <c r="C219" t="s">
        <v>9</v>
      </c>
      <c r="D219" s="1">
        <v>45160</v>
      </c>
      <c r="E219" t="s">
        <v>10</v>
      </c>
      <c r="F219" t="s">
        <v>11</v>
      </c>
      <c r="G219" t="s">
        <v>12</v>
      </c>
      <c r="H219" t="s">
        <v>13</v>
      </c>
    </row>
    <row r="220" spans="1:8" x14ac:dyDescent="0.25">
      <c r="A220" t="s">
        <v>244</v>
      </c>
      <c r="B220" t="s">
        <v>8</v>
      </c>
      <c r="C220" t="s">
        <v>25</v>
      </c>
      <c r="D220" s="1">
        <v>45165</v>
      </c>
      <c r="E220" t="s">
        <v>22</v>
      </c>
      <c r="F220" t="s">
        <v>23</v>
      </c>
      <c r="G220" t="s">
        <v>34</v>
      </c>
      <c r="H220" t="s">
        <v>13</v>
      </c>
    </row>
    <row r="221" spans="1:8" x14ac:dyDescent="0.25">
      <c r="A221" t="s">
        <v>245</v>
      </c>
      <c r="B221" t="s">
        <v>15</v>
      </c>
      <c r="C221" t="s">
        <v>28</v>
      </c>
      <c r="D221" s="1">
        <v>45141</v>
      </c>
      <c r="E221" t="s">
        <v>10</v>
      </c>
      <c r="F221" t="s">
        <v>11</v>
      </c>
      <c r="G221" t="s">
        <v>12</v>
      </c>
      <c r="H221" t="s">
        <v>13</v>
      </c>
    </row>
    <row r="222" spans="1:8" x14ac:dyDescent="0.25">
      <c r="A222" t="s">
        <v>246</v>
      </c>
      <c r="B222" t="s">
        <v>8</v>
      </c>
      <c r="C222" t="s">
        <v>30</v>
      </c>
      <c r="D222" s="1">
        <v>45146</v>
      </c>
      <c r="E222" t="s">
        <v>22</v>
      </c>
      <c r="F222" t="s">
        <v>23</v>
      </c>
      <c r="G222" t="s">
        <v>18</v>
      </c>
      <c r="H222" t="s">
        <v>13</v>
      </c>
    </row>
    <row r="223" spans="1:8" x14ac:dyDescent="0.25">
      <c r="A223" t="s">
        <v>247</v>
      </c>
      <c r="B223" t="s">
        <v>15</v>
      </c>
      <c r="C223" t="s">
        <v>9</v>
      </c>
      <c r="D223" s="1">
        <v>45151</v>
      </c>
      <c r="E223" t="s">
        <v>10</v>
      </c>
      <c r="F223" t="s">
        <v>11</v>
      </c>
      <c r="G223" t="s">
        <v>12</v>
      </c>
      <c r="H223" t="s">
        <v>19</v>
      </c>
    </row>
    <row r="224" spans="1:8" x14ac:dyDescent="0.25">
      <c r="A224" t="s">
        <v>248</v>
      </c>
      <c r="B224" t="s">
        <v>8</v>
      </c>
      <c r="C224" t="s">
        <v>25</v>
      </c>
      <c r="D224" s="1">
        <v>45156</v>
      </c>
      <c r="E224" t="s">
        <v>17</v>
      </c>
      <c r="F224" t="s">
        <v>11</v>
      </c>
      <c r="G224" t="s">
        <v>18</v>
      </c>
      <c r="H224" t="s">
        <v>13</v>
      </c>
    </row>
    <row r="225" spans="1:8" x14ac:dyDescent="0.25">
      <c r="A225" t="s">
        <v>249</v>
      </c>
      <c r="B225" t="s">
        <v>15</v>
      </c>
      <c r="C225" t="s">
        <v>28</v>
      </c>
      <c r="D225" s="1">
        <v>45161</v>
      </c>
      <c r="E225" t="s">
        <v>10</v>
      </c>
      <c r="F225" t="s">
        <v>23</v>
      </c>
      <c r="G225" t="s">
        <v>12</v>
      </c>
      <c r="H225" t="s">
        <v>13</v>
      </c>
    </row>
    <row r="226" spans="1:8" x14ac:dyDescent="0.25">
      <c r="A226" t="s">
        <v>250</v>
      </c>
      <c r="B226" t="s">
        <v>8</v>
      </c>
      <c r="C226" t="s">
        <v>30</v>
      </c>
      <c r="D226" s="1">
        <v>45166</v>
      </c>
      <c r="E226" t="s">
        <v>22</v>
      </c>
      <c r="F226" t="s">
        <v>11</v>
      </c>
      <c r="G226" t="s">
        <v>18</v>
      </c>
      <c r="H226" t="s">
        <v>13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C08E2-9FD9-4BAD-9411-B4260C8A95B4}">
  <dimension ref="B3:C6"/>
  <sheetViews>
    <sheetView workbookViewId="0">
      <selection activeCell="C5" sqref="C5"/>
    </sheetView>
  </sheetViews>
  <sheetFormatPr defaultRowHeight="15" x14ac:dyDescent="0.25"/>
  <cols>
    <col min="2" max="2" width="13.140625" bestFit="1" customWidth="1"/>
    <col min="3" max="3" width="16.7109375" bestFit="1" customWidth="1"/>
  </cols>
  <sheetData>
    <row r="3" spans="2:3" x14ac:dyDescent="0.25">
      <c r="B3" s="2" t="s">
        <v>252</v>
      </c>
      <c r="C3" t="s">
        <v>251</v>
      </c>
    </row>
    <row r="4" spans="2:3" x14ac:dyDescent="0.25">
      <c r="B4" s="3" t="s">
        <v>8</v>
      </c>
      <c r="C4">
        <v>124</v>
      </c>
    </row>
    <row r="5" spans="2:3" x14ac:dyDescent="0.25">
      <c r="B5" s="3" t="s">
        <v>15</v>
      </c>
      <c r="C5">
        <v>101</v>
      </c>
    </row>
    <row r="6" spans="2:3" x14ac:dyDescent="0.25">
      <c r="B6" s="3" t="s">
        <v>253</v>
      </c>
      <c r="C6">
        <v>225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7679B-CBB5-4541-93E8-C6A1AB74C018}">
  <dimension ref="C4:D11"/>
  <sheetViews>
    <sheetView workbookViewId="0">
      <selection activeCell="D8" sqref="D8"/>
    </sheetView>
  </sheetViews>
  <sheetFormatPr defaultRowHeight="15" x14ac:dyDescent="0.25"/>
  <cols>
    <col min="3" max="3" width="13.140625" bestFit="1" customWidth="1"/>
    <col min="4" max="4" width="16.7109375" bestFit="1" customWidth="1"/>
    <col min="5" max="5" width="7.7109375" bestFit="1" customWidth="1"/>
    <col min="6" max="6" width="8.140625" bestFit="1" customWidth="1"/>
    <col min="7" max="7" width="6.5703125" bestFit="1" customWidth="1"/>
    <col min="8" max="8" width="5.42578125" bestFit="1" customWidth="1"/>
    <col min="9" max="9" width="6" bestFit="1" customWidth="1"/>
    <col min="10" max="10" width="11.28515625" bestFit="1" customWidth="1"/>
  </cols>
  <sheetData>
    <row r="4" spans="3:4" x14ac:dyDescent="0.25">
      <c r="C4" s="2" t="s">
        <v>252</v>
      </c>
      <c r="D4" t="s">
        <v>251</v>
      </c>
    </row>
    <row r="5" spans="3:4" x14ac:dyDescent="0.25">
      <c r="C5" s="3" t="s">
        <v>21</v>
      </c>
      <c r="D5">
        <v>22</v>
      </c>
    </row>
    <row r="6" spans="3:4" x14ac:dyDescent="0.25">
      <c r="C6" s="3" t="s">
        <v>30</v>
      </c>
      <c r="D6">
        <v>48</v>
      </c>
    </row>
    <row r="7" spans="3:4" x14ac:dyDescent="0.25">
      <c r="C7" s="3" t="s">
        <v>9</v>
      </c>
      <c r="D7">
        <v>42</v>
      </c>
    </row>
    <row r="8" spans="3:4" x14ac:dyDescent="0.25">
      <c r="C8" s="3" t="s">
        <v>25</v>
      </c>
      <c r="D8">
        <v>49</v>
      </c>
    </row>
    <row r="9" spans="3:4" x14ac:dyDescent="0.25">
      <c r="C9" s="3" t="s">
        <v>28</v>
      </c>
      <c r="D9">
        <v>43</v>
      </c>
    </row>
    <row r="10" spans="3:4" x14ac:dyDescent="0.25">
      <c r="C10" s="3" t="s">
        <v>16</v>
      </c>
      <c r="D10">
        <v>21</v>
      </c>
    </row>
    <row r="11" spans="3:4" x14ac:dyDescent="0.25">
      <c r="C11" s="3" t="s">
        <v>253</v>
      </c>
      <c r="D11">
        <v>225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E72B7-42EE-4380-96A5-D27C7A682B39}">
  <dimension ref="C5:D10"/>
  <sheetViews>
    <sheetView workbookViewId="0">
      <selection activeCell="D8" sqref="D8"/>
    </sheetView>
  </sheetViews>
  <sheetFormatPr defaultRowHeight="15" x14ac:dyDescent="0.25"/>
  <cols>
    <col min="3" max="3" width="14.140625" bestFit="1" customWidth="1"/>
    <col min="4" max="4" width="16.7109375" bestFit="1" customWidth="1"/>
  </cols>
  <sheetData>
    <row r="5" spans="3:4" x14ac:dyDescent="0.25">
      <c r="C5" s="2" t="s">
        <v>252</v>
      </c>
      <c r="D5" t="s">
        <v>251</v>
      </c>
    </row>
    <row r="6" spans="3:4" x14ac:dyDescent="0.25">
      <c r="C6" s="3" t="s">
        <v>26</v>
      </c>
      <c r="D6">
        <v>30</v>
      </c>
    </row>
    <row r="7" spans="3:4" x14ac:dyDescent="0.25">
      <c r="C7" s="3" t="s">
        <v>22</v>
      </c>
      <c r="D7">
        <v>57</v>
      </c>
    </row>
    <row r="8" spans="3:4" x14ac:dyDescent="0.25">
      <c r="C8" s="3" t="s">
        <v>10</v>
      </c>
      <c r="D8">
        <v>100</v>
      </c>
    </row>
    <row r="9" spans="3:4" x14ac:dyDescent="0.25">
      <c r="C9" s="3" t="s">
        <v>17</v>
      </c>
      <c r="D9">
        <v>38</v>
      </c>
    </row>
    <row r="10" spans="3:4" x14ac:dyDescent="0.25">
      <c r="C10" s="3" t="s">
        <v>253</v>
      </c>
      <c r="D10">
        <v>225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52110-9910-4AC8-B048-118E2CF91A6D}">
  <dimension ref="C5:I7"/>
  <sheetViews>
    <sheetView topLeftCell="A3" workbookViewId="0">
      <selection activeCell="D33" sqref="D33"/>
    </sheetView>
  </sheetViews>
  <sheetFormatPr defaultRowHeight="15" x14ac:dyDescent="0.25"/>
  <cols>
    <col min="3" max="3" width="13.140625" bestFit="1" customWidth="1"/>
    <col min="4" max="4" width="15.5703125" bestFit="1" customWidth="1"/>
  </cols>
  <sheetData>
    <row r="5" spans="3:9" x14ac:dyDescent="0.25">
      <c r="C5" s="2" t="s">
        <v>252</v>
      </c>
      <c r="D5" t="s">
        <v>257</v>
      </c>
      <c r="H5" s="3" t="s">
        <v>11</v>
      </c>
      <c r="I5" s="5">
        <v>0.50757575757575757</v>
      </c>
    </row>
    <row r="6" spans="3:9" x14ac:dyDescent="0.25">
      <c r="C6" s="3" t="s">
        <v>11</v>
      </c>
      <c r="D6" s="5">
        <v>0.50757575757575757</v>
      </c>
      <c r="G6" s="3"/>
      <c r="H6" s="3" t="s">
        <v>23</v>
      </c>
      <c r="I6" s="5">
        <v>0.35483870967741937</v>
      </c>
    </row>
    <row r="7" spans="3:9" x14ac:dyDescent="0.25">
      <c r="C7" s="3" t="s">
        <v>23</v>
      </c>
      <c r="D7" s="5">
        <v>0.35483870967741937</v>
      </c>
      <c r="G7" s="3"/>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46687-5520-4FE7-A929-DF4396ED64EE}">
  <dimension ref="C4:D8"/>
  <sheetViews>
    <sheetView workbookViewId="0">
      <selection activeCell="D27" sqref="D27"/>
    </sheetView>
  </sheetViews>
  <sheetFormatPr defaultRowHeight="15" x14ac:dyDescent="0.25"/>
  <cols>
    <col min="3" max="3" width="13.140625" bestFit="1" customWidth="1"/>
    <col min="4" max="4" width="16.7109375" bestFit="1" customWidth="1"/>
  </cols>
  <sheetData>
    <row r="4" spans="3:4" x14ac:dyDescent="0.25">
      <c r="C4" s="2" t="s">
        <v>252</v>
      </c>
      <c r="D4" t="s">
        <v>251</v>
      </c>
    </row>
    <row r="5" spans="3:4" x14ac:dyDescent="0.25">
      <c r="C5" s="3" t="s">
        <v>18</v>
      </c>
      <c r="D5">
        <v>104</v>
      </c>
    </row>
    <row r="6" spans="3:4" x14ac:dyDescent="0.25">
      <c r="C6" s="3" t="s">
        <v>34</v>
      </c>
      <c r="D6">
        <v>22</v>
      </c>
    </row>
    <row r="7" spans="3:4" x14ac:dyDescent="0.25">
      <c r="C7" s="3" t="s">
        <v>12</v>
      </c>
      <c r="D7">
        <v>99</v>
      </c>
    </row>
    <row r="8" spans="3:4" x14ac:dyDescent="0.25">
      <c r="C8" s="3" t="s">
        <v>253</v>
      </c>
      <c r="D8">
        <v>225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4836D-665A-4A39-B040-A4E2CACE1FEA}">
  <dimension ref="A1"/>
  <sheetViews>
    <sheetView showGridLines="0" showRowColHeaders="0" tabSelected="1" topLeftCell="B2" workbookViewId="0">
      <selection activeCell="B29" sqref="B29"/>
    </sheetView>
  </sheetViews>
  <sheetFormatPr defaultRowHeight="15" x14ac:dyDescent="0.2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CCBD5-BAEC-4469-A51D-573F096C5C40}">
  <dimension ref="C4:D7"/>
  <sheetViews>
    <sheetView workbookViewId="0">
      <selection activeCell="D6" sqref="D6"/>
    </sheetView>
  </sheetViews>
  <sheetFormatPr defaultRowHeight="15" x14ac:dyDescent="0.25"/>
  <cols>
    <col min="3" max="3" width="13.140625" bestFit="1" customWidth="1"/>
    <col min="4" max="4" width="16.7109375" bestFit="1" customWidth="1"/>
  </cols>
  <sheetData>
    <row r="4" spans="3:4" x14ac:dyDescent="0.25">
      <c r="C4" s="2" t="s">
        <v>252</v>
      </c>
      <c r="D4" t="s">
        <v>251</v>
      </c>
    </row>
    <row r="5" spans="3:4" x14ac:dyDescent="0.25">
      <c r="C5" s="3" t="s">
        <v>19</v>
      </c>
      <c r="D5">
        <v>54</v>
      </c>
    </row>
    <row r="6" spans="3:4" x14ac:dyDescent="0.25">
      <c r="C6" s="3" t="s">
        <v>13</v>
      </c>
      <c r="D6">
        <v>171</v>
      </c>
    </row>
    <row r="7" spans="3:4" x14ac:dyDescent="0.25">
      <c r="C7" s="3" t="s">
        <v>253</v>
      </c>
      <c r="D7">
        <v>225</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2E026A5-8186-4F7D-893B-B2AB6AA17B0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KPI</vt:lpstr>
      <vt:lpstr>Lead by States</vt:lpstr>
      <vt:lpstr>EMERALD PROPERTIES</vt:lpstr>
      <vt:lpstr>Lead by Gender</vt:lpstr>
      <vt:lpstr>Lead by Sales Rep.</vt:lpstr>
      <vt:lpstr>Leads by Sales Status</vt:lpstr>
      <vt:lpstr>Conversion Rate by State</vt:lpstr>
      <vt:lpstr>Lead by Property Type</vt:lpstr>
      <vt:lpstr>Dashboard</vt:lpstr>
      <vt:lpstr>Lead by Inspection Status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Ubokobong Archibong</dc:creator>
  <cp:lastModifiedBy>Ubokobong Archibong</cp:lastModifiedBy>
  <dcterms:created xsi:type="dcterms:W3CDTF">2026-07-23T14:04:38Z</dcterms:created>
  <dcterms:modified xsi:type="dcterms:W3CDTF">2026-08-03T16:53:36Z</dcterms:modified>
</cp:coreProperties>
</file>