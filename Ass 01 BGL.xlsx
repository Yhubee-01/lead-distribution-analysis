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1a8435623f4135/Documents/"/>
    </mc:Choice>
  </mc:AlternateContent>
  <xr:revisionPtr revIDLastSave="1" documentId="13_ncr:1_{12E8BCAF-853D-4726-B1AC-F4CE25B61A11}" xr6:coauthVersionLast="47" xr6:coauthVersionMax="47" xr10:uidLastSave="{C2342907-C4E1-4768-9FA2-FD2E2B49465D}"/>
  <bookViews>
    <workbookView xWindow="-120" yWindow="-120" windowWidth="20730" windowHeight="11040" activeTab="1" xr2:uid="{843CC8F3-682A-4722-AE4A-81962B26A96C}"/>
  </bookViews>
  <sheets>
    <sheet name="Student Scores" sheetId="1" r:id="rId1"/>
    <sheet name="Payroll" sheetId="12" r:id="rId2"/>
    <sheet name="ASSIGNMENT VIDEO LINK" sheetId="1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1" i="12" l="1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10" i="12"/>
  <c r="L7" i="1" a="1"/>
  <c r="L7" i="1"/>
  <c r="L8" i="1" a="1"/>
  <c r="L8" i="1" s="1"/>
  <c r="L9" i="1" a="1"/>
  <c r="L9" i="1" s="1"/>
  <c r="L10" i="1" a="1"/>
  <c r="L10" i="1" s="1"/>
  <c r="L11" i="1" a="1"/>
  <c r="L11" i="1" s="1"/>
  <c r="L12" i="1" a="1"/>
  <c r="L12" i="1"/>
  <c r="L13" i="1" a="1"/>
  <c r="L13" i="1" s="1"/>
  <c r="L6" i="1" a="1"/>
  <c r="L6" i="1" s="1"/>
  <c r="K7" i="1"/>
  <c r="K8" i="1"/>
  <c r="K9" i="1"/>
  <c r="J14" i="1"/>
  <c r="I14" i="1"/>
  <c r="K14" i="1" s="1"/>
  <c r="J7" i="1"/>
  <c r="J8" i="1"/>
  <c r="J9" i="1"/>
  <c r="J10" i="1"/>
  <c r="J11" i="1"/>
  <c r="J12" i="1"/>
  <c r="J13" i="1"/>
  <c r="J6" i="1"/>
  <c r="I7" i="1"/>
  <c r="I8" i="1"/>
  <c r="I9" i="1"/>
  <c r="I10" i="1"/>
  <c r="K10" i="1" s="1"/>
  <c r="I11" i="1"/>
  <c r="K11" i="1" s="1"/>
  <c r="I12" i="1"/>
  <c r="K12" i="1" s="1"/>
  <c r="I13" i="1"/>
  <c r="K13" i="1" s="1"/>
  <c r="I6" i="1"/>
  <c r="K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<sst xmlns="http://schemas.openxmlformats.org/spreadsheetml/2006/main" count="85" uniqueCount="81">
  <si>
    <t>Name</t>
  </si>
  <si>
    <t>John</t>
  </si>
  <si>
    <t>Emmanuel</t>
  </si>
  <si>
    <t>Meg</t>
  </si>
  <si>
    <t>Love</t>
  </si>
  <si>
    <t>Eng</t>
  </si>
  <si>
    <t>Chem</t>
  </si>
  <si>
    <t>Physics</t>
  </si>
  <si>
    <t>Biology</t>
  </si>
  <si>
    <t>F. Maths</t>
  </si>
  <si>
    <t>Total</t>
  </si>
  <si>
    <t>Maths</t>
  </si>
  <si>
    <t>Average</t>
  </si>
  <si>
    <t>Basic Salary</t>
  </si>
  <si>
    <t>Net Pay</t>
  </si>
  <si>
    <t>Grace</t>
  </si>
  <si>
    <t>Emp_ID</t>
  </si>
  <si>
    <t>Dept</t>
  </si>
  <si>
    <t>Housing</t>
  </si>
  <si>
    <t>Transport</t>
  </si>
  <si>
    <t>Bonus</t>
  </si>
  <si>
    <t>Pension</t>
  </si>
  <si>
    <t>NHF</t>
  </si>
  <si>
    <t>PAYE</t>
  </si>
  <si>
    <t>Monthly Gross pay</t>
  </si>
  <si>
    <t>Total Deductions</t>
  </si>
  <si>
    <t>DEDUCTIONS</t>
  </si>
  <si>
    <t>Tony</t>
  </si>
  <si>
    <t>A</t>
  </si>
  <si>
    <t>Wale</t>
  </si>
  <si>
    <t>Chinwe</t>
  </si>
  <si>
    <t>C</t>
  </si>
  <si>
    <t>B</t>
  </si>
  <si>
    <t>D</t>
  </si>
  <si>
    <t>E</t>
  </si>
  <si>
    <t>Housing = 8% of Basic Salary</t>
  </si>
  <si>
    <t>Transport = 6% of Basic Salary</t>
  </si>
  <si>
    <t>Bonus = 2% of Basic Salary</t>
  </si>
  <si>
    <t>Pension = 8% of Basic +Housing+Transport</t>
  </si>
  <si>
    <t>NHF = 2.5% of Basic Salary</t>
  </si>
  <si>
    <t>PAYE = 7% of Monthly Gross Pay</t>
  </si>
  <si>
    <t>Total Deductions=Pension+NHF+PAYE</t>
  </si>
  <si>
    <t>GrossPay = Basic+Housing+Transport+Bonus</t>
  </si>
  <si>
    <t>Net Pay = Monthly Gross Pay - Total Deductions</t>
  </si>
  <si>
    <t>Agu</t>
  </si>
  <si>
    <t>Karl</t>
  </si>
  <si>
    <t>Okafor</t>
  </si>
  <si>
    <t>Gladys</t>
  </si>
  <si>
    <t>Bassey</t>
  </si>
  <si>
    <t>Grade %</t>
  </si>
  <si>
    <t>STUDENTS SCORE</t>
  </si>
  <si>
    <t>Students Weakness</t>
  </si>
  <si>
    <t>Students Strength</t>
  </si>
  <si>
    <t>Subject Max Score</t>
  </si>
  <si>
    <t>Performance</t>
  </si>
  <si>
    <t>https://www.youtube.com/live/7_vMFvnGTlc?si=CrShA2yIfKZZ5jxl</t>
  </si>
  <si>
    <t>Column1</t>
  </si>
  <si>
    <t>1) Total Scores by each Student</t>
  </si>
  <si>
    <t>2) Average performance by the each student</t>
  </si>
  <si>
    <t>3) Convert the students total to percentage</t>
  </si>
  <si>
    <t>4)Acertain each student weakness and Strength</t>
  </si>
  <si>
    <t>5) Rate the students performance as excellent, very good etc</t>
  </si>
  <si>
    <t>6) Use Conditional Formatting to show valuable insights on the students Performance</t>
  </si>
  <si>
    <t>State A</t>
  </si>
  <si>
    <t>State B</t>
  </si>
  <si>
    <t>State C</t>
  </si>
  <si>
    <t>Environmental Degradation Rate in various state</t>
  </si>
  <si>
    <t>ifs</t>
  </si>
  <si>
    <t>Victor</t>
  </si>
  <si>
    <t>Ezeh</t>
  </si>
  <si>
    <t>Yhubee</t>
  </si>
  <si>
    <t>Ekemini</t>
  </si>
  <si>
    <t>Ndifreke</t>
  </si>
  <si>
    <t>Favouor</t>
  </si>
  <si>
    <t>Winifred</t>
  </si>
  <si>
    <t>Faithful</t>
  </si>
  <si>
    <t>Crystar</t>
  </si>
  <si>
    <t>Esther</t>
  </si>
  <si>
    <t>Goodness</t>
  </si>
  <si>
    <t>Samuel</t>
  </si>
  <si>
    <t>Eyefon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</si>
</sst>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₦-466]\ #,##0"/>
    <numFmt numFmtId="165" formatCode="[$₦-466]\ #,##0.00"/>
    <numFmt numFmtId="166" formatCode="[$₦-466]\ #,##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rgb="FF0070C0"/>
      </top>
      <bottom/>
      <diagonal/>
    </border>
    <border>
      <left style="medium">
        <color rgb="FF0070C0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medium">
        <color rgb="FF0070C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medium">
        <color rgb="FF0070C0"/>
      </right>
      <top style="thin">
        <color theme="4" tint="0.39997558519241921"/>
      </top>
      <bottom/>
      <diagonal/>
    </border>
    <border>
      <left/>
      <right/>
      <top style="medium">
        <color rgb="FF0070C0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medium">
        <color rgb="FF0070C0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medium">
        <color rgb="FF0070C0"/>
      </top>
      <bottom style="thin">
        <color theme="4" tint="0.39997558519241921"/>
      </bottom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0" fontId="0" fillId="2" borderId="0" xfId="0" applyFill="1"/>
    <xf numFmtId="0" fontId="2" fillId="4" borderId="2" xfId="0" applyFont="1" applyFill="1" applyBorder="1"/>
    <xf numFmtId="0" fontId="2" fillId="4" borderId="3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6" fillId="0" borderId="0" xfId="2"/>
    <xf numFmtId="0" fontId="2" fillId="4" borderId="5" xfId="0" applyFont="1" applyFill="1" applyBorder="1"/>
    <xf numFmtId="0" fontId="0" fillId="4" borderId="3" xfId="0" applyFill="1" applyBorder="1"/>
    <xf numFmtId="0" fontId="0" fillId="4" borderId="6" xfId="0" applyFill="1" applyBorder="1"/>
    <xf numFmtId="0" fontId="0" fillId="0" borderId="3" xfId="0" applyBorder="1"/>
    <xf numFmtId="0" fontId="0" fillId="0" borderId="6" xfId="0" applyBorder="1"/>
    <xf numFmtId="0" fontId="2" fillId="0" borderId="3" xfId="1" applyNumberFormat="1" applyFont="1" applyBorder="1"/>
    <xf numFmtId="1" fontId="2" fillId="4" borderId="3" xfId="0" applyNumberFormat="1" applyFont="1" applyFill="1" applyBorder="1"/>
    <xf numFmtId="0" fontId="0" fillId="6" borderId="0" xfId="0" applyFill="1"/>
    <xf numFmtId="9" fontId="0" fillId="0" borderId="0" xfId="1" applyFont="1"/>
    <xf numFmtId="164" fontId="0" fillId="0" borderId="0" xfId="0" applyNumberFormat="1"/>
    <xf numFmtId="0" fontId="2" fillId="7" borderId="3" xfId="0" applyFont="1" applyFill="1" applyBorder="1"/>
    <xf numFmtId="0" fontId="0" fillId="8" borderId="0" xfId="0" applyFill="1"/>
    <xf numFmtId="0" fontId="3" fillId="3" borderId="10" xfId="0" applyFont="1" applyFill="1" applyBorder="1"/>
    <xf numFmtId="0" fontId="4" fillId="3" borderId="1" xfId="0" applyFont="1" applyFill="1" applyBorder="1"/>
    <xf numFmtId="0" fontId="3" fillId="5" borderId="4" xfId="0" applyFont="1" applyFill="1" applyBorder="1"/>
    <xf numFmtId="0" fontId="3" fillId="5" borderId="1" xfId="0" applyFont="1" applyFill="1" applyBorder="1"/>
    <xf numFmtId="0" fontId="3" fillId="5" borderId="11" xfId="0" applyFont="1" applyFill="1" applyBorder="1"/>
    <xf numFmtId="9" fontId="2" fillId="4" borderId="3" xfId="1" applyFont="1" applyFill="1" applyBorder="1"/>
    <xf numFmtId="0" fontId="5" fillId="4" borderId="8" xfId="0" applyFont="1" applyFill="1" applyBorder="1"/>
    <xf numFmtId="0" fontId="0" fillId="4" borderId="7" xfId="0" applyFill="1" applyBorder="1"/>
    <xf numFmtId="0" fontId="0" fillId="4" borderId="9" xfId="0" applyFill="1" applyBorder="1"/>
    <xf numFmtId="165" fontId="0" fillId="0" borderId="0" xfId="0" applyNumberFormat="1"/>
    <xf numFmtId="9" fontId="0" fillId="0" borderId="0" xfId="0" applyNumberFormat="1"/>
    <xf numFmtId="0" fontId="0" fillId="0" borderId="0" xfId="0"/>
    <xf numFmtId="166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9D7A386C-92EB-49C1-9D95-4824143A2292}"/>
  </tableStyles>
  <colors>
    <mruColors>
      <color rgb="FFFF3300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live/7_vMFvnGTlc?si=CrShA2yIfKZZ5jx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7828D-155E-4A02-B953-12D8E7F96594}">
  <dimension ref="B3:N22"/>
  <sheetViews>
    <sheetView zoomScale="83" zoomScaleNormal="83" workbookViewId="0">
      <selection activeCell="L15" sqref="L15"/>
    </sheetView>
  </sheetViews>
  <sheetFormatPr defaultRowHeight="15" x14ac:dyDescent="0.25"/>
  <cols>
    <col min="2" max="2" width="17.42578125" bestFit="1" customWidth="1"/>
    <col min="3" max="3" width="13.7109375" customWidth="1"/>
    <col min="4" max="5" width="11.7109375" customWidth="1"/>
    <col min="6" max="6" width="9.42578125" customWidth="1"/>
    <col min="7" max="7" width="10.140625" customWidth="1"/>
    <col min="8" max="8" width="10.5703125" customWidth="1"/>
    <col min="9" max="9" width="9.42578125" customWidth="1"/>
    <col min="10" max="10" width="10.28515625" customWidth="1"/>
    <col min="11" max="11" width="10.42578125" customWidth="1"/>
    <col min="12" max="12" width="14.7109375" customWidth="1"/>
    <col min="13" max="13" width="20.5703125" customWidth="1"/>
    <col min="14" max="14" width="19" customWidth="1"/>
    <col min="15" max="15" width="17" bestFit="1" customWidth="1"/>
    <col min="21" max="21" width="9.5703125" customWidth="1"/>
  </cols>
  <sheetData>
    <row r="3" spans="2:14" x14ac:dyDescent="0.25">
      <c r="B3" s="2" t="s">
        <v>50</v>
      </c>
      <c r="C3" s="2"/>
      <c r="D3" s="2"/>
      <c r="E3" s="2"/>
      <c r="F3" s="2"/>
      <c r="G3" s="2"/>
      <c r="H3" s="2"/>
      <c r="I3" s="2"/>
      <c r="J3" s="2"/>
      <c r="K3" s="2"/>
    </row>
    <row r="4" spans="2:14" ht="15.75" thickBot="1" x14ac:dyDescent="0.3"/>
    <row r="5" spans="2:14" ht="15.75" x14ac:dyDescent="0.25">
      <c r="B5" s="20" t="s">
        <v>56</v>
      </c>
      <c r="C5" s="21" t="s">
        <v>11</v>
      </c>
      <c r="D5" s="21" t="s">
        <v>5</v>
      </c>
      <c r="E5" s="21" t="s">
        <v>6</v>
      </c>
      <c r="F5" s="21" t="s">
        <v>7</v>
      </c>
      <c r="G5" s="21" t="s">
        <v>8</v>
      </c>
      <c r="H5" s="21" t="s">
        <v>9</v>
      </c>
      <c r="I5" s="22" t="s">
        <v>10</v>
      </c>
      <c r="J5" s="23" t="s">
        <v>12</v>
      </c>
      <c r="K5" s="23" t="s">
        <v>49</v>
      </c>
      <c r="L5" s="23" t="s">
        <v>54</v>
      </c>
      <c r="M5" s="23" t="s">
        <v>51</v>
      </c>
      <c r="N5" s="24" t="s">
        <v>52</v>
      </c>
    </row>
    <row r="6" spans="2:14" ht="15.75" x14ac:dyDescent="0.25">
      <c r="B6" s="3" t="s">
        <v>1</v>
      </c>
      <c r="C6" s="4">
        <v>45</v>
      </c>
      <c r="D6" s="4">
        <v>54</v>
      </c>
      <c r="E6" s="4">
        <v>34</v>
      </c>
      <c r="F6" s="4">
        <v>81</v>
      </c>
      <c r="G6" s="4">
        <v>59</v>
      </c>
      <c r="H6" s="4">
        <v>75</v>
      </c>
      <c r="I6" s="8">
        <f>SUM(C6:H6)</f>
        <v>348</v>
      </c>
      <c r="J6" s="14">
        <f>AVERAGE(C6:H6)</f>
        <v>58</v>
      </c>
      <c r="K6" s="25">
        <f>I6/$I$14</f>
        <v>0.57999999999999996</v>
      </c>
      <c r="L6" s="18" t="str" cm="1">
        <f t="array" ref="L6">_xlfn.IFS(J6&gt;=75, "excellent",  J6&gt;=65, "very good",  J6&gt;=55, "good",  J6&gt;=40, "pass",  J6&lt;=39, "fail")</f>
        <v>good</v>
      </c>
      <c r="M6" s="9">
        <v>34</v>
      </c>
      <c r="N6" s="10">
        <v>81</v>
      </c>
    </row>
    <row r="7" spans="2:14" ht="15.75" x14ac:dyDescent="0.25">
      <c r="B7" s="5" t="s">
        <v>2</v>
      </c>
      <c r="C7" s="6">
        <v>50</v>
      </c>
      <c r="D7" s="6">
        <v>90</v>
      </c>
      <c r="E7" s="6">
        <v>67</v>
      </c>
      <c r="F7" s="6">
        <v>92</v>
      </c>
      <c r="G7" s="6">
        <v>68</v>
      </c>
      <c r="H7" s="6">
        <v>89</v>
      </c>
      <c r="I7" s="8">
        <f t="shared" ref="I7:I14" si="0">SUM(C7:H7)</f>
        <v>456</v>
      </c>
      <c r="J7" s="14">
        <f t="shared" ref="J7:J14" si="1">AVERAGE(C7:H7)</f>
        <v>76</v>
      </c>
      <c r="K7" s="25">
        <f t="shared" ref="K7:K14" si="2">I7/$I$14</f>
        <v>0.76</v>
      </c>
      <c r="L7" s="18" t="str" cm="1">
        <f t="array" ref="L7">_xlfn.IFS(J7&gt;=75, "excellent",  J7&gt;=65, "very good",  J7&gt;=55, "good",  J7&gt;=40, "pass",  J7&lt;=39, "fail")</f>
        <v>excellent</v>
      </c>
      <c r="M7" s="11">
        <v>50</v>
      </c>
      <c r="N7" s="12">
        <v>92</v>
      </c>
    </row>
    <row r="8" spans="2:14" ht="15.75" x14ac:dyDescent="0.25">
      <c r="B8" s="3" t="s">
        <v>47</v>
      </c>
      <c r="C8" s="4">
        <v>88</v>
      </c>
      <c r="D8" s="4">
        <v>77</v>
      </c>
      <c r="E8" s="4">
        <v>91</v>
      </c>
      <c r="F8" s="4">
        <v>87</v>
      </c>
      <c r="G8" s="4">
        <v>55</v>
      </c>
      <c r="H8" s="4">
        <v>42</v>
      </c>
      <c r="I8" s="8">
        <f t="shared" si="0"/>
        <v>440</v>
      </c>
      <c r="J8" s="14">
        <f t="shared" si="1"/>
        <v>73.333333333333329</v>
      </c>
      <c r="K8" s="25">
        <f t="shared" si="2"/>
        <v>0.73333333333333328</v>
      </c>
      <c r="L8" s="18" t="str" cm="1">
        <f t="array" ref="L8">_xlfn.IFS(J8&gt;=75, "excellent",  J8&gt;=65, "very good",  J8&gt;=55, "good",  J8&gt;=40, "pass",  J8&lt;=39, "fail")</f>
        <v>very good</v>
      </c>
      <c r="M8" s="9">
        <v>42</v>
      </c>
      <c r="N8" s="10">
        <v>91</v>
      </c>
    </row>
    <row r="9" spans="2:14" ht="15.75" x14ac:dyDescent="0.25">
      <c r="B9" s="5" t="s">
        <v>48</v>
      </c>
      <c r="C9" s="6">
        <v>34</v>
      </c>
      <c r="D9" s="6">
        <v>85</v>
      </c>
      <c r="E9" s="6">
        <v>66</v>
      </c>
      <c r="F9" s="6">
        <v>99</v>
      </c>
      <c r="G9" s="6">
        <v>81</v>
      </c>
      <c r="H9" s="6">
        <v>64</v>
      </c>
      <c r="I9" s="8">
        <f t="shared" si="0"/>
        <v>429</v>
      </c>
      <c r="J9" s="14">
        <f t="shared" si="1"/>
        <v>71.5</v>
      </c>
      <c r="K9" s="25">
        <f t="shared" si="2"/>
        <v>0.71499999999999997</v>
      </c>
      <c r="L9" s="18" t="str" cm="1">
        <f t="array" ref="L9">_xlfn.IFS(J9&gt;=75, "excellent",  J9&gt;=65, "very good",  J9&gt;=55, "good",  J9&gt;=40, "pass",  J9&lt;=39, "fail")</f>
        <v>very good</v>
      </c>
      <c r="M9" s="11">
        <v>34</v>
      </c>
      <c r="N9" s="12">
        <v>99</v>
      </c>
    </row>
    <row r="10" spans="2:14" ht="15.75" x14ac:dyDescent="0.25">
      <c r="B10" s="3" t="s">
        <v>46</v>
      </c>
      <c r="C10" s="4">
        <v>78</v>
      </c>
      <c r="D10" s="4">
        <v>77</v>
      </c>
      <c r="E10" s="4">
        <v>77</v>
      </c>
      <c r="F10" s="4">
        <v>96</v>
      </c>
      <c r="G10" s="4">
        <v>79</v>
      </c>
      <c r="H10" s="4">
        <v>77</v>
      </c>
      <c r="I10" s="8">
        <f t="shared" si="0"/>
        <v>484</v>
      </c>
      <c r="J10" s="14">
        <f t="shared" si="1"/>
        <v>80.666666666666671</v>
      </c>
      <c r="K10" s="25">
        <f t="shared" si="2"/>
        <v>0.80666666666666664</v>
      </c>
      <c r="L10" s="18" t="str" cm="1">
        <f t="array" ref="L10">_xlfn.IFS(J10&gt;=75, "excellent",  J10&gt;=65, "very good",  J10&gt;=55, "good",  J10&gt;=40, "pass",  J10&lt;=39, "fail")</f>
        <v>excellent</v>
      </c>
      <c r="M10" s="9">
        <v>77</v>
      </c>
      <c r="N10" s="10">
        <v>96</v>
      </c>
    </row>
    <row r="11" spans="2:14" ht="15.75" x14ac:dyDescent="0.25">
      <c r="B11" s="5" t="s">
        <v>3</v>
      </c>
      <c r="C11" s="6">
        <v>54</v>
      </c>
      <c r="D11" s="6">
        <v>64</v>
      </c>
      <c r="E11" s="6">
        <v>89</v>
      </c>
      <c r="F11" s="6">
        <v>62</v>
      </c>
      <c r="G11" s="6">
        <v>45</v>
      </c>
      <c r="H11" s="6">
        <v>64</v>
      </c>
      <c r="I11" s="8">
        <f t="shared" si="0"/>
        <v>378</v>
      </c>
      <c r="J11" s="14">
        <f t="shared" si="1"/>
        <v>63</v>
      </c>
      <c r="K11" s="25">
        <f t="shared" si="2"/>
        <v>0.63</v>
      </c>
      <c r="L11" s="18" t="str" cm="1">
        <f t="array" ref="L11">_xlfn.IFS(J11&gt;=75, "excellent",  J11&gt;=65, "very good",  J11&gt;=55, "good",  J11&gt;=40, "pass",  J11&lt;=39, "fail")</f>
        <v>good</v>
      </c>
      <c r="M11" s="11">
        <v>45</v>
      </c>
      <c r="N11" s="12">
        <v>89</v>
      </c>
    </row>
    <row r="12" spans="2:14" ht="15.75" x14ac:dyDescent="0.25">
      <c r="B12" s="3" t="s">
        <v>4</v>
      </c>
      <c r="C12" s="4">
        <v>81</v>
      </c>
      <c r="D12" s="4">
        <v>78</v>
      </c>
      <c r="E12" s="4">
        <v>63</v>
      </c>
      <c r="F12" s="4">
        <v>56</v>
      </c>
      <c r="G12" s="4">
        <v>55</v>
      </c>
      <c r="H12" s="4">
        <v>29</v>
      </c>
      <c r="I12" s="8">
        <f t="shared" si="0"/>
        <v>362</v>
      </c>
      <c r="J12" s="14">
        <f t="shared" si="1"/>
        <v>60.333333333333336</v>
      </c>
      <c r="K12" s="25">
        <f t="shared" si="2"/>
        <v>0.60333333333333339</v>
      </c>
      <c r="L12" s="18" t="str" cm="1">
        <f t="array" ref="L12">_xlfn.IFS(J12&gt;=75, "excellent",  J12&gt;=65, "very good",  J12&gt;=55, "good",  J12&gt;=40, "pass",  J12&lt;=39, "fail")</f>
        <v>good</v>
      </c>
      <c r="M12" s="9">
        <v>29</v>
      </c>
      <c r="N12" s="10">
        <v>81</v>
      </c>
    </row>
    <row r="13" spans="2:14" ht="16.5" thickBot="1" x14ac:dyDescent="0.3">
      <c r="B13" s="5" t="s">
        <v>30</v>
      </c>
      <c r="C13" s="6">
        <v>65</v>
      </c>
      <c r="D13" s="6">
        <v>64</v>
      </c>
      <c r="E13" s="6">
        <v>62</v>
      </c>
      <c r="F13" s="13">
        <v>98</v>
      </c>
      <c r="G13" s="13">
        <v>68</v>
      </c>
      <c r="H13" s="13">
        <v>56</v>
      </c>
      <c r="I13" s="8">
        <f t="shared" si="0"/>
        <v>413</v>
      </c>
      <c r="J13" s="14">
        <f t="shared" si="1"/>
        <v>68.833333333333329</v>
      </c>
      <c r="K13" s="25">
        <f t="shared" si="2"/>
        <v>0.68833333333333335</v>
      </c>
      <c r="L13" s="18" t="str" cm="1">
        <f t="array" ref="L13">_xlfn.IFS(J13&gt;=75, "excellent",  J13&gt;=65, "very good",  J13&gt;=55, "good",  J13&gt;=40, "pass",  J13&lt;=39, "fail")</f>
        <v>very good</v>
      </c>
      <c r="M13" s="11">
        <v>56</v>
      </c>
      <c r="N13" s="12">
        <v>98</v>
      </c>
    </row>
    <row r="14" spans="2:14" ht="15.75" x14ac:dyDescent="0.25">
      <c r="B14" s="26" t="s">
        <v>53</v>
      </c>
      <c r="C14" s="27">
        <v>100</v>
      </c>
      <c r="D14" s="27">
        <v>100</v>
      </c>
      <c r="E14" s="27">
        <v>100</v>
      </c>
      <c r="F14" s="27">
        <v>100</v>
      </c>
      <c r="G14" s="27">
        <v>100</v>
      </c>
      <c r="H14" s="27">
        <v>100</v>
      </c>
      <c r="I14" s="8">
        <f t="shared" si="0"/>
        <v>600</v>
      </c>
      <c r="J14" s="14">
        <f t="shared" si="1"/>
        <v>100</v>
      </c>
      <c r="K14" s="25">
        <f t="shared" si="2"/>
        <v>1</v>
      </c>
      <c r="L14" s="18"/>
      <c r="M14" s="27"/>
      <c r="N14" s="28"/>
    </row>
    <row r="15" spans="2:14" ht="15.75" x14ac:dyDescent="0.25">
      <c r="B15" s="1"/>
      <c r="L15" s="19"/>
    </row>
    <row r="16" spans="2:14" x14ac:dyDescent="0.25">
      <c r="J16" s="15" t="s">
        <v>66</v>
      </c>
      <c r="K16" s="15"/>
      <c r="L16" s="15"/>
      <c r="M16" s="15"/>
    </row>
    <row r="17" spans="2:14" x14ac:dyDescent="0.25">
      <c r="B17" s="31" t="s">
        <v>57</v>
      </c>
      <c r="C17" s="31"/>
      <c r="D17" s="31"/>
      <c r="E17" s="31"/>
      <c r="J17" t="s">
        <v>63</v>
      </c>
      <c r="K17" s="16">
        <v>0.05</v>
      </c>
    </row>
    <row r="18" spans="2:14" x14ac:dyDescent="0.25">
      <c r="B18" s="31" t="s">
        <v>58</v>
      </c>
      <c r="C18" s="31"/>
      <c r="D18" s="31"/>
      <c r="E18" s="31"/>
      <c r="J18" t="s">
        <v>64</v>
      </c>
      <c r="K18" s="16">
        <v>0.7</v>
      </c>
    </row>
    <row r="19" spans="2:14" x14ac:dyDescent="0.25">
      <c r="B19" s="31" t="s">
        <v>59</v>
      </c>
      <c r="C19" s="31"/>
      <c r="D19" s="31"/>
      <c r="E19" s="31"/>
      <c r="J19" t="s">
        <v>65</v>
      </c>
      <c r="K19" s="16">
        <v>0.54</v>
      </c>
    </row>
    <row r="20" spans="2:14" x14ac:dyDescent="0.25">
      <c r="B20" s="31" t="s">
        <v>60</v>
      </c>
      <c r="C20" s="31"/>
      <c r="D20" s="31"/>
      <c r="E20" s="31"/>
      <c r="N20" t="s">
        <v>67</v>
      </c>
    </row>
    <row r="21" spans="2:14" x14ac:dyDescent="0.25">
      <c r="B21" s="31" t="s">
        <v>61</v>
      </c>
      <c r="C21" s="31"/>
      <c r="D21" s="31"/>
      <c r="E21" s="31"/>
    </row>
    <row r="22" spans="2:14" x14ac:dyDescent="0.25">
      <c r="B22" t="s">
        <v>62</v>
      </c>
    </row>
  </sheetData>
  <mergeCells count="5">
    <mergeCell ref="B17:E17"/>
    <mergeCell ref="B18:E18"/>
    <mergeCell ref="B19:E19"/>
    <mergeCell ref="B20:E20"/>
    <mergeCell ref="B21:E21"/>
  </mergeCells>
  <conditionalFormatting sqref="L6:L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5">
      <iconSet>
        <cfvo type="percent" val="0"/>
        <cfvo type="percent" val="33"/>
        <cfvo type="percent" val="67"/>
      </iconSet>
    </cfRule>
  </conditionalFormatting>
  <conditionalFormatting sqref="L6:L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A0DE-05AA-445A-87AD-84C5937120B2}">
  <dimension ref="B3:N31"/>
  <sheetViews>
    <sheetView tabSelected="1" topLeftCell="A2" workbookViewId="0">
      <selection activeCell="J10" sqref="J10"/>
    </sheetView>
  </sheetViews>
  <sheetFormatPr defaultRowHeight="15" x14ac:dyDescent="0.25"/>
  <cols>
    <col min="5" max="5" width="11" bestFit="1" customWidth="1"/>
    <col min="6" max="6" width="12" bestFit="1" customWidth="1"/>
    <col min="7" max="7" width="13.42578125" customWidth="1"/>
    <col min="9" max="9" width="16.5703125" bestFit="1" customWidth="1"/>
    <col min="10" max="10" width="13.7109375" bestFit="1" customWidth="1"/>
    <col min="11" max="11" width="12" bestFit="1" customWidth="1"/>
    <col min="12" max="12" width="9.42578125" bestFit="1" customWidth="1"/>
    <col min="13" max="13" width="14.85546875" bestFit="1" customWidth="1"/>
  </cols>
  <sheetData>
    <row r="3" spans="2:14" x14ac:dyDescent="0.25">
      <c r="B3" t="s">
        <v>35</v>
      </c>
      <c r="K3" t="s">
        <v>38</v>
      </c>
    </row>
    <row r="4" spans="2:14" x14ac:dyDescent="0.25">
      <c r="B4" t="s">
        <v>36</v>
      </c>
      <c r="G4" t="s">
        <v>43</v>
      </c>
      <c r="K4" t="s">
        <v>39</v>
      </c>
    </row>
    <row r="5" spans="2:14" x14ac:dyDescent="0.25">
      <c r="B5" t="s">
        <v>37</v>
      </c>
      <c r="K5" t="s">
        <v>40</v>
      </c>
    </row>
    <row r="6" spans="2:14" x14ac:dyDescent="0.25">
      <c r="B6" t="s">
        <v>42</v>
      </c>
      <c r="K6" t="s">
        <v>41</v>
      </c>
    </row>
    <row r="7" spans="2:14" x14ac:dyDescent="0.25">
      <c r="J7" t="s">
        <v>26</v>
      </c>
    </row>
    <row r="8" spans="2:14" x14ac:dyDescent="0.25">
      <c r="F8">
        <v>0.08</v>
      </c>
      <c r="G8">
        <v>0.06</v>
      </c>
      <c r="H8">
        <v>0.02</v>
      </c>
      <c r="J8" s="30"/>
      <c r="K8">
        <v>2.5000000000000001E-2</v>
      </c>
      <c r="L8">
        <v>7.0000000000000007E-2</v>
      </c>
    </row>
    <row r="9" spans="2:14" x14ac:dyDescent="0.25">
      <c r="B9" t="s">
        <v>16</v>
      </c>
      <c r="C9" t="s">
        <v>0</v>
      </c>
      <c r="D9" t="s">
        <v>17</v>
      </c>
      <c r="E9" t="s">
        <v>13</v>
      </c>
      <c r="F9" t="s">
        <v>18</v>
      </c>
      <c r="G9" t="s">
        <v>19</v>
      </c>
      <c r="H9" t="s">
        <v>20</v>
      </c>
      <c r="I9" t="s">
        <v>24</v>
      </c>
      <c r="J9" t="s">
        <v>21</v>
      </c>
      <c r="K9" t="s">
        <v>22</v>
      </c>
      <c r="L9" t="s">
        <v>23</v>
      </c>
      <c r="M9" t="s">
        <v>25</v>
      </c>
      <c r="N9" t="s">
        <v>14</v>
      </c>
    </row>
    <row r="10" spans="2:14" x14ac:dyDescent="0.25">
      <c r="B10">
        <v>1</v>
      </c>
      <c r="C10" t="s">
        <v>27</v>
      </c>
      <c r="D10" t="s">
        <v>28</v>
      </c>
      <c r="E10" s="17">
        <v>1580000</v>
      </c>
      <c r="F10" s="29">
        <f>E10*0.08</f>
        <v>126400</v>
      </c>
      <c r="G10" s="29">
        <f>E10*0.06</f>
        <v>94800</v>
      </c>
      <c r="H10" s="17">
        <f>E10*0.02</f>
        <v>31600</v>
      </c>
      <c r="I10" s="17">
        <f>SUM(E10:F10:G10:H10)</f>
        <v>1832800</v>
      </c>
      <c r="J10" s="29"/>
      <c r="K10" s="32">
        <f>E10*0.025</f>
        <v>39500</v>
      </c>
      <c r="L10" s="17">
        <f>I10*0.07</f>
        <v>128296.00000000001</v>
      </c>
    </row>
    <row r="11" spans="2:14" x14ac:dyDescent="0.25">
      <c r="B11">
        <v>2</v>
      </c>
      <c r="C11" t="s">
        <v>1</v>
      </c>
      <c r="D11" t="s">
        <v>31</v>
      </c>
      <c r="E11" s="17">
        <v>920000</v>
      </c>
      <c r="F11" s="29">
        <f t="shared" ref="F11:F29" si="0">E11*0.08</f>
        <v>73600</v>
      </c>
      <c r="G11" s="29">
        <f t="shared" ref="G11:G29" si="1">E11*0.06</f>
        <v>55200</v>
      </c>
      <c r="H11" s="17">
        <f t="shared" ref="H11:H29" si="2">E11*0.02</f>
        <v>18400</v>
      </c>
      <c r="I11" s="17">
        <f>SUM(E11:F11:G11:H11)</f>
        <v>1067200</v>
      </c>
      <c r="J11" s="29"/>
      <c r="K11" s="32">
        <f t="shared" ref="K11:K29" si="3">E11*0.025</f>
        <v>23000</v>
      </c>
      <c r="L11" s="17">
        <f t="shared" ref="L11:L29" si="4">I11*0.07</f>
        <v>74704</v>
      </c>
    </row>
    <row r="12" spans="2:14" x14ac:dyDescent="0.25">
      <c r="B12">
        <v>3</v>
      </c>
      <c r="C12" t="s">
        <v>29</v>
      </c>
      <c r="D12" t="s">
        <v>32</v>
      </c>
      <c r="E12" s="17">
        <v>1350000</v>
      </c>
      <c r="F12" s="29">
        <f t="shared" si="0"/>
        <v>108000</v>
      </c>
      <c r="G12" s="29">
        <f t="shared" si="1"/>
        <v>81000</v>
      </c>
      <c r="H12" s="17">
        <f t="shared" si="2"/>
        <v>27000</v>
      </c>
      <c r="I12" s="17">
        <f>SUM(E12:F12:G12:H12)</f>
        <v>1566000</v>
      </c>
      <c r="J12" s="29"/>
      <c r="K12" s="32">
        <f t="shared" si="3"/>
        <v>33750</v>
      </c>
      <c r="L12" s="17">
        <f t="shared" si="4"/>
        <v>109620.00000000001</v>
      </c>
    </row>
    <row r="13" spans="2:14" x14ac:dyDescent="0.25">
      <c r="B13">
        <v>4</v>
      </c>
      <c r="C13" t="s">
        <v>30</v>
      </c>
      <c r="D13" t="s">
        <v>33</v>
      </c>
      <c r="E13" s="17">
        <v>1234580</v>
      </c>
      <c r="F13" s="29">
        <f t="shared" si="0"/>
        <v>98766.400000000009</v>
      </c>
      <c r="G13" s="29">
        <f t="shared" si="1"/>
        <v>74074.8</v>
      </c>
      <c r="H13" s="17">
        <f t="shared" si="2"/>
        <v>24691.600000000002</v>
      </c>
      <c r="I13" s="17">
        <f>SUM(E13:F13:G13:H13)</f>
        <v>1432112.8</v>
      </c>
      <c r="J13" s="29"/>
      <c r="K13" s="32">
        <f t="shared" si="3"/>
        <v>30864.5</v>
      </c>
      <c r="L13" s="17">
        <f t="shared" si="4"/>
        <v>100247.89600000001</v>
      </c>
    </row>
    <row r="14" spans="2:14" x14ac:dyDescent="0.25">
      <c r="B14">
        <v>5</v>
      </c>
      <c r="C14" t="s">
        <v>15</v>
      </c>
      <c r="D14" t="s">
        <v>34</v>
      </c>
      <c r="E14" s="17">
        <v>1488900</v>
      </c>
      <c r="F14" s="29">
        <f t="shared" si="0"/>
        <v>119112</v>
      </c>
      <c r="G14" s="29">
        <f t="shared" si="1"/>
        <v>89334</v>
      </c>
      <c r="H14" s="17">
        <f t="shared" si="2"/>
        <v>29778</v>
      </c>
      <c r="I14" s="17">
        <f>SUM(E14:F14:G14:H14)</f>
        <v>1727124</v>
      </c>
      <c r="J14" s="29"/>
      <c r="K14" s="32">
        <f t="shared" si="3"/>
        <v>37222.5</v>
      </c>
      <c r="L14" s="17">
        <f t="shared" si="4"/>
        <v>120898.68000000001</v>
      </c>
    </row>
    <row r="15" spans="2:14" x14ac:dyDescent="0.25">
      <c r="B15">
        <v>6</v>
      </c>
      <c r="C15" t="s">
        <v>44</v>
      </c>
      <c r="D15" t="s">
        <v>33</v>
      </c>
      <c r="E15" s="17">
        <v>980000</v>
      </c>
      <c r="F15" s="29">
        <f t="shared" si="0"/>
        <v>78400</v>
      </c>
      <c r="G15" s="29">
        <f t="shared" si="1"/>
        <v>58800</v>
      </c>
      <c r="H15" s="17">
        <f t="shared" si="2"/>
        <v>19600</v>
      </c>
      <c r="I15" s="17">
        <f>SUM(E15:F15:G15:H15)</f>
        <v>1136800</v>
      </c>
      <c r="J15" s="29"/>
      <c r="K15" s="32">
        <f t="shared" si="3"/>
        <v>24500</v>
      </c>
      <c r="L15" s="17">
        <f t="shared" si="4"/>
        <v>79576.000000000015</v>
      </c>
    </row>
    <row r="16" spans="2:14" x14ac:dyDescent="0.25">
      <c r="B16">
        <v>7</v>
      </c>
      <c r="C16" t="s">
        <v>45</v>
      </c>
      <c r="D16" t="s">
        <v>31</v>
      </c>
      <c r="E16" s="17">
        <v>1678000</v>
      </c>
      <c r="F16" s="29">
        <f t="shared" si="0"/>
        <v>134240</v>
      </c>
      <c r="G16" s="29">
        <f t="shared" si="1"/>
        <v>100680</v>
      </c>
      <c r="H16" s="17">
        <f t="shared" si="2"/>
        <v>33560</v>
      </c>
      <c r="I16" s="17">
        <f>SUM(E16:F16:G16:H16)</f>
        <v>1946480</v>
      </c>
      <c r="J16" s="29"/>
      <c r="K16" s="32">
        <f t="shared" si="3"/>
        <v>41950</v>
      </c>
      <c r="L16" s="17">
        <f t="shared" si="4"/>
        <v>136253.6</v>
      </c>
    </row>
    <row r="17" spans="2:12" x14ac:dyDescent="0.25">
      <c r="B17">
        <v>8</v>
      </c>
      <c r="C17" t="s">
        <v>68</v>
      </c>
      <c r="E17" s="17">
        <v>750000</v>
      </c>
      <c r="F17" s="29">
        <f t="shared" si="0"/>
        <v>60000</v>
      </c>
      <c r="G17" s="29">
        <f t="shared" si="1"/>
        <v>45000</v>
      </c>
      <c r="H17" s="17">
        <f t="shared" si="2"/>
        <v>15000</v>
      </c>
      <c r="I17" s="17">
        <f>SUM(E17:F17:G17:H17)</f>
        <v>870000</v>
      </c>
      <c r="J17" s="29"/>
      <c r="K17" s="32">
        <f t="shared" si="3"/>
        <v>18750</v>
      </c>
      <c r="L17" s="17">
        <f t="shared" si="4"/>
        <v>60900.000000000007</v>
      </c>
    </row>
    <row r="18" spans="2:12" x14ac:dyDescent="0.25">
      <c r="B18">
        <v>9</v>
      </c>
      <c r="C18" t="s">
        <v>69</v>
      </c>
      <c r="E18" s="17">
        <v>870550</v>
      </c>
      <c r="F18" s="29">
        <f t="shared" si="0"/>
        <v>69644</v>
      </c>
      <c r="G18" s="29">
        <f t="shared" si="1"/>
        <v>52233</v>
      </c>
      <c r="H18" s="17">
        <f t="shared" si="2"/>
        <v>17411</v>
      </c>
      <c r="I18" s="17">
        <f>SUM(E18:F18:G18:H18)</f>
        <v>1009838</v>
      </c>
      <c r="J18" s="29"/>
      <c r="K18" s="32">
        <f t="shared" si="3"/>
        <v>21763.75</v>
      </c>
      <c r="L18" s="17">
        <f t="shared" si="4"/>
        <v>70688.66</v>
      </c>
    </row>
    <row r="19" spans="2:12" x14ac:dyDescent="0.25">
      <c r="B19">
        <v>10</v>
      </c>
      <c r="C19" t="s">
        <v>70</v>
      </c>
      <c r="E19" s="17">
        <v>1420950</v>
      </c>
      <c r="F19" s="29">
        <f t="shared" si="0"/>
        <v>113676</v>
      </c>
      <c r="G19" s="29">
        <f t="shared" si="1"/>
        <v>85257</v>
      </c>
      <c r="H19" s="17">
        <f t="shared" si="2"/>
        <v>28419</v>
      </c>
      <c r="I19" s="17">
        <f>SUM(E19:F19:G19:H19)</f>
        <v>1648302</v>
      </c>
      <c r="J19" s="29"/>
      <c r="K19" s="32">
        <f t="shared" si="3"/>
        <v>35523.75</v>
      </c>
      <c r="L19" s="17">
        <f t="shared" si="4"/>
        <v>115381.14000000001</v>
      </c>
    </row>
    <row r="20" spans="2:12" x14ac:dyDescent="0.25">
      <c r="B20">
        <v>11</v>
      </c>
      <c r="C20" t="s">
        <v>71</v>
      </c>
      <c r="E20" s="17">
        <v>1004200</v>
      </c>
      <c r="F20" s="29">
        <f t="shared" si="0"/>
        <v>80336</v>
      </c>
      <c r="G20" s="29">
        <f t="shared" si="1"/>
        <v>60252</v>
      </c>
      <c r="H20" s="17">
        <f t="shared" si="2"/>
        <v>20084</v>
      </c>
      <c r="I20" s="17">
        <f>SUM(E20:F20:G20:H20)</f>
        <v>1164872</v>
      </c>
      <c r="J20" s="29"/>
      <c r="K20" s="32">
        <f t="shared" si="3"/>
        <v>25105</v>
      </c>
      <c r="L20" s="17">
        <f t="shared" si="4"/>
        <v>81541.040000000008</v>
      </c>
    </row>
    <row r="21" spans="2:12" x14ac:dyDescent="0.25">
      <c r="B21">
        <v>12</v>
      </c>
      <c r="C21" t="s">
        <v>72</v>
      </c>
      <c r="E21" s="17">
        <v>665320</v>
      </c>
      <c r="F21" s="29">
        <f t="shared" si="0"/>
        <v>53225.599999999999</v>
      </c>
      <c r="G21" s="29">
        <f t="shared" si="1"/>
        <v>39919.199999999997</v>
      </c>
      <c r="H21" s="17">
        <f t="shared" si="2"/>
        <v>13306.4</v>
      </c>
      <c r="I21" s="17">
        <f>SUM(E21:F21:G21:H21)</f>
        <v>771771.2</v>
      </c>
      <c r="J21" s="29"/>
      <c r="K21" s="32">
        <f t="shared" si="3"/>
        <v>16633</v>
      </c>
      <c r="L21" s="17">
        <f t="shared" si="4"/>
        <v>54023.984000000004</v>
      </c>
    </row>
    <row r="22" spans="2:12" x14ac:dyDescent="0.25">
      <c r="B22">
        <v>13</v>
      </c>
      <c r="C22" t="s">
        <v>73</v>
      </c>
      <c r="E22" s="17">
        <v>970850</v>
      </c>
      <c r="F22" s="29">
        <f t="shared" si="0"/>
        <v>77668</v>
      </c>
      <c r="G22" s="29">
        <f t="shared" si="1"/>
        <v>58251</v>
      </c>
      <c r="H22" s="17">
        <f t="shared" si="2"/>
        <v>19417</v>
      </c>
      <c r="I22" s="17">
        <f>SUM(E22:F22:G22:H22)</f>
        <v>1126186</v>
      </c>
      <c r="J22" s="29"/>
      <c r="K22" s="32">
        <f t="shared" si="3"/>
        <v>24271.25</v>
      </c>
      <c r="L22" s="17">
        <f t="shared" si="4"/>
        <v>78833.02</v>
      </c>
    </row>
    <row r="23" spans="2:12" x14ac:dyDescent="0.25">
      <c r="B23">
        <v>14</v>
      </c>
      <c r="C23" t="s">
        <v>74</v>
      </c>
      <c r="E23" s="17">
        <v>1562000</v>
      </c>
      <c r="F23" s="29">
        <f t="shared" si="0"/>
        <v>124960</v>
      </c>
      <c r="G23" s="29">
        <f t="shared" si="1"/>
        <v>93720</v>
      </c>
      <c r="H23" s="17">
        <f t="shared" si="2"/>
        <v>31240</v>
      </c>
      <c r="I23" s="17">
        <f>SUM(E23:F23:G23:H23)</f>
        <v>1811920</v>
      </c>
      <c r="J23" s="29"/>
      <c r="K23" s="32">
        <f t="shared" si="3"/>
        <v>39050</v>
      </c>
      <c r="L23" s="17">
        <f t="shared" si="4"/>
        <v>126834.40000000001</v>
      </c>
    </row>
    <row r="24" spans="2:12" x14ac:dyDescent="0.25">
      <c r="B24">
        <v>15</v>
      </c>
      <c r="C24" t="s">
        <v>75</v>
      </c>
      <c r="E24" s="17">
        <v>580500</v>
      </c>
      <c r="F24" s="29">
        <f t="shared" si="0"/>
        <v>46440</v>
      </c>
      <c r="G24" s="29">
        <f t="shared" si="1"/>
        <v>34830</v>
      </c>
      <c r="H24" s="17">
        <f t="shared" si="2"/>
        <v>11610</v>
      </c>
      <c r="I24" s="17">
        <f>SUM(E24:F24:G24:H24)</f>
        <v>673380</v>
      </c>
      <c r="J24" s="29"/>
      <c r="K24" s="32">
        <f t="shared" si="3"/>
        <v>14512.5</v>
      </c>
      <c r="L24" s="17">
        <f t="shared" si="4"/>
        <v>47136.600000000006</v>
      </c>
    </row>
    <row r="25" spans="2:12" x14ac:dyDescent="0.25">
      <c r="B25">
        <v>16</v>
      </c>
      <c r="C25" t="s">
        <v>76</v>
      </c>
      <c r="E25" s="17">
        <v>1000200</v>
      </c>
      <c r="F25" s="29">
        <f t="shared" si="0"/>
        <v>80016</v>
      </c>
      <c r="G25" s="29">
        <f t="shared" si="1"/>
        <v>60012</v>
      </c>
      <c r="H25" s="17">
        <f t="shared" si="2"/>
        <v>20004</v>
      </c>
      <c r="I25" s="17">
        <f>SUM(E25:F25:G25:H25)</f>
        <v>1160232</v>
      </c>
      <c r="J25" s="29"/>
      <c r="K25" s="32">
        <f t="shared" si="3"/>
        <v>25005</v>
      </c>
      <c r="L25" s="17">
        <f t="shared" si="4"/>
        <v>81216.240000000005</v>
      </c>
    </row>
    <row r="26" spans="2:12" x14ac:dyDescent="0.25">
      <c r="B26">
        <v>17</v>
      </c>
      <c r="C26" t="s">
        <v>77</v>
      </c>
      <c r="E26" s="17">
        <v>670000</v>
      </c>
      <c r="F26" s="29">
        <f t="shared" si="0"/>
        <v>53600</v>
      </c>
      <c r="G26" s="29">
        <f t="shared" si="1"/>
        <v>40200</v>
      </c>
      <c r="H26" s="17">
        <f t="shared" si="2"/>
        <v>13400</v>
      </c>
      <c r="I26" s="17">
        <f>SUM(E26:F26:G26:H26)</f>
        <v>777200</v>
      </c>
      <c r="J26" s="29"/>
      <c r="K26" s="32">
        <f t="shared" si="3"/>
        <v>16750</v>
      </c>
      <c r="L26" s="17">
        <f t="shared" si="4"/>
        <v>54404.000000000007</v>
      </c>
    </row>
    <row r="27" spans="2:12" x14ac:dyDescent="0.25">
      <c r="B27">
        <v>18</v>
      </c>
      <c r="C27" t="s">
        <v>78</v>
      </c>
      <c r="E27" s="17">
        <v>1540300</v>
      </c>
      <c r="F27" s="29">
        <f t="shared" si="0"/>
        <v>123224</v>
      </c>
      <c r="G27" s="29">
        <f t="shared" si="1"/>
        <v>92418</v>
      </c>
      <c r="H27" s="17">
        <f t="shared" si="2"/>
        <v>30806</v>
      </c>
      <c r="I27" s="17">
        <f>SUM(E27:F27:G27:H27)</f>
        <v>1786748</v>
      </c>
      <c r="J27" s="29"/>
      <c r="K27" s="32">
        <f t="shared" si="3"/>
        <v>38507.5</v>
      </c>
      <c r="L27" s="17">
        <f t="shared" si="4"/>
        <v>125072.36000000002</v>
      </c>
    </row>
    <row r="28" spans="2:12" x14ac:dyDescent="0.25">
      <c r="B28">
        <v>19</v>
      </c>
      <c r="C28" t="s">
        <v>79</v>
      </c>
      <c r="E28" s="17">
        <v>490950</v>
      </c>
      <c r="F28" s="29">
        <f t="shared" si="0"/>
        <v>39276</v>
      </c>
      <c r="G28" s="29">
        <f t="shared" si="1"/>
        <v>29457</v>
      </c>
      <c r="H28" s="17">
        <f t="shared" si="2"/>
        <v>9819</v>
      </c>
      <c r="I28" s="17">
        <f>SUM(E28:F28:G28:H28)</f>
        <v>569502</v>
      </c>
      <c r="J28" s="29"/>
      <c r="K28" s="32">
        <f t="shared" si="3"/>
        <v>12273.75</v>
      </c>
      <c r="L28" s="17">
        <f t="shared" si="4"/>
        <v>39865.140000000007</v>
      </c>
    </row>
    <row r="29" spans="2:12" x14ac:dyDescent="0.25">
      <c r="B29">
        <v>20</v>
      </c>
      <c r="C29" t="s">
        <v>80</v>
      </c>
      <c r="E29" s="17">
        <v>875600</v>
      </c>
      <c r="F29" s="29">
        <f t="shared" si="0"/>
        <v>70048</v>
      </c>
      <c r="G29" s="29">
        <f t="shared" si="1"/>
        <v>52536</v>
      </c>
      <c r="H29" s="17">
        <f t="shared" si="2"/>
        <v>17512</v>
      </c>
      <c r="I29" s="17">
        <f>SUM(E29:F29:G29:H29)</f>
        <v>1015696</v>
      </c>
      <c r="J29" s="29"/>
      <c r="K29" s="32">
        <f t="shared" si="3"/>
        <v>21890</v>
      </c>
      <c r="L29" s="17">
        <f t="shared" si="4"/>
        <v>71098.720000000001</v>
      </c>
    </row>
    <row r="30" spans="2:12" x14ac:dyDescent="0.25">
      <c r="E30" s="17"/>
    </row>
    <row r="31" spans="2:12" x14ac:dyDescent="0.25">
      <c r="E31" s="17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4C303-BF9B-4E51-9CBC-BCF67E48956D}">
  <dimension ref="C3:D6"/>
  <sheetViews>
    <sheetView workbookViewId="0">
      <selection activeCell="D6" sqref="D6"/>
    </sheetView>
  </sheetViews>
  <sheetFormatPr defaultRowHeight="15" x14ac:dyDescent="0.25"/>
  <cols>
    <col min="3" max="3" width="56.5703125" bestFit="1" customWidth="1"/>
  </cols>
  <sheetData>
    <row r="3" spans="3:4" x14ac:dyDescent="0.25">
      <c r="C3" s="7"/>
    </row>
    <row r="5" spans="3:4" x14ac:dyDescent="0.25">
      <c r="C5" s="7" t="s">
        <v>55</v>
      </c>
    </row>
    <row r="6" spans="3:4" x14ac:dyDescent="0.25">
      <c r="D6" s="2"/>
    </row>
  </sheetData>
  <hyperlinks>
    <hyperlink ref="C5" r:id="rId1" xr:uid="{C5FFEB2E-21A3-4575-A00D-2F34FB0E8A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Scores</vt:lpstr>
      <vt:lpstr>Payroll</vt:lpstr>
      <vt:lpstr>ASSIGNMENT VIDEO LINK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Ubokobong Archibong</cp:lastModifiedBy>
  <dcterms:created xsi:type="dcterms:W3CDTF">2023-06-11T09:26:50Z</dcterms:created>
  <dcterms:modified xsi:type="dcterms:W3CDTF">2026-04-14T16:28:28Z</dcterms:modified>
</cp:coreProperties>
</file>